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nicol\Desktop\"/>
    </mc:Choice>
  </mc:AlternateContent>
  <xr:revisionPtr revIDLastSave="0" documentId="8_{EA9B4EE0-28B4-6F4C-AEE4-1A9C07B31CD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resupuesto del proyecto" sheetId="6" r:id="rId1"/>
    <sheet name="listas desplegables" sheetId="3" r:id="rId2"/>
  </sheets>
  <externalReferences>
    <externalReference r:id="rId3"/>
    <externalReference r:id="rId4"/>
  </externalReferences>
  <definedNames>
    <definedName name="_xlnm.Print_Area" localSheetId="0">'Presupuesto del proyecto'!$B$1:$S$37</definedName>
    <definedName name="Priority">#REF!</definedName>
    <definedName name="Status">'listas desplegables'!$D$5:$D$7</definedName>
    <definedName name="Type" localSheetId="1">'[1]Risk Assessment &amp; Control'!#REF!</definedName>
    <definedName name="Type">'[2]Maintenance Work Order'!#REF!</definedName>
    <definedName name="YesNo">'listas desplegables'!$B$5:$B$6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S10" i="6" l="1"/>
  <c r="S13" i="6"/>
  <c r="S16" i="6"/>
  <c r="S17" i="6"/>
  <c r="S18" i="6"/>
  <c r="S21" i="6"/>
  <c r="S22" i="6"/>
  <c r="S14" i="6"/>
  <c r="S15" i="6"/>
  <c r="S19" i="6"/>
  <c r="S20" i="6"/>
  <c r="S11" i="6"/>
  <c r="S12" i="6"/>
  <c r="Q23" i="6"/>
  <c r="N23" i="6"/>
  <c r="O23" i="6"/>
  <c r="P23" i="6"/>
  <c r="S9" i="6"/>
  <c r="M23" i="6"/>
  <c r="S8" i="6"/>
  <c r="S6" i="6"/>
  <c r="S7" i="6"/>
  <c r="S5" i="6"/>
  <c r="J23" i="6"/>
  <c r="R23" i="6"/>
  <c r="S23" i="6"/>
</calcChain>
</file>

<file path=xl/sharedStrings.xml><?xml version="1.0" encoding="utf-8"?>
<sst xmlns="http://schemas.openxmlformats.org/spreadsheetml/2006/main" count="95" uniqueCount="76">
  <si>
    <t>SUBTOTAL</t>
  </si>
  <si>
    <t>PROJECT 1</t>
  </si>
  <si>
    <t>No</t>
  </si>
  <si>
    <t>Presupuesto de Proyecto</t>
  </si>
  <si>
    <t>Mano de Obra</t>
  </si>
  <si>
    <t>Materiales</t>
  </si>
  <si>
    <t>Costos Fijos</t>
  </si>
  <si>
    <t>Balance</t>
  </si>
  <si>
    <t>TAREA</t>
  </si>
  <si>
    <t>DESCRIPCION</t>
  </si>
  <si>
    <t>ESTADO</t>
  </si>
  <si>
    <t>FECHA INICIO PLANIFICADA</t>
  </si>
  <si>
    <t>FECHA INICIO REAL</t>
  </si>
  <si>
    <t>FECHA FIN</t>
  </si>
  <si>
    <t>HORAS</t>
  </si>
  <si>
    <t>VALOR HORA</t>
  </si>
  <si>
    <t>TOTAL MANO DE OBRA</t>
  </si>
  <si>
    <t>UNIDADES</t>
  </si>
  <si>
    <t>VALOR UNIDAD</t>
  </si>
  <si>
    <t>TOTAL MATERIALES</t>
  </si>
  <si>
    <t>VIAJES</t>
  </si>
  <si>
    <t>EQUIPOS</t>
  </si>
  <si>
    <t>MISCELANEOS</t>
  </si>
  <si>
    <t>PRESUPUESTO</t>
  </si>
  <si>
    <t>REAL</t>
  </si>
  <si>
    <t>Diferencia (Menos / Más del Presupuesto)</t>
  </si>
  <si>
    <t>SI / NO</t>
  </si>
  <si>
    <t>Si</t>
  </si>
  <si>
    <t>Baja</t>
  </si>
  <si>
    <t>Media</t>
  </si>
  <si>
    <t>Alta</t>
  </si>
  <si>
    <t>No Iniciado</t>
  </si>
  <si>
    <t>En Progreso</t>
  </si>
  <si>
    <t>Completo</t>
  </si>
  <si>
    <t>Aprobado</t>
  </si>
  <si>
    <t>Atrasado</t>
  </si>
  <si>
    <t>Requiere Revisión</t>
  </si>
  <si>
    <t>En Espera</t>
  </si>
  <si>
    <t>listas desplegables</t>
  </si>
  <si>
    <t>PRIORIDAD</t>
  </si>
  <si>
    <t>Elaboración Acta de Constitución</t>
  </si>
  <si>
    <t>1.1 INICIO PROYECTO</t>
  </si>
  <si>
    <t>1.2 INICIO PROYECTO</t>
  </si>
  <si>
    <t>2.1 PLANIFICACION</t>
  </si>
  <si>
    <t>2.2 PLANIFICACION</t>
  </si>
  <si>
    <t>2.3 PLANIFICACION</t>
  </si>
  <si>
    <t>Identificación de riesgos</t>
  </si>
  <si>
    <t>3.1 ANALISIS DATOS</t>
  </si>
  <si>
    <t>3.2 ANALISIS DATOS</t>
  </si>
  <si>
    <t>3.3 ANALISIS DATOS</t>
  </si>
  <si>
    <t>Análisis descriptivo EDA</t>
  </si>
  <si>
    <t>3.4 ANALISIS DATOS</t>
  </si>
  <si>
    <t>4.1 MODELO IA</t>
  </si>
  <si>
    <t>Diseño arquitectura red neuronal</t>
  </si>
  <si>
    <t>4.2 MODELO IA</t>
  </si>
  <si>
    <t>4.3 MODELO IA</t>
  </si>
  <si>
    <t>5.1 DESARROLLO WEB</t>
  </si>
  <si>
    <t>5.2 DESARROLLO WEB</t>
  </si>
  <si>
    <t>Desarrollo Frontend</t>
  </si>
  <si>
    <t>5.3 DESARROLLO WEB</t>
  </si>
  <si>
    <t>Backend e integración modelo</t>
  </si>
  <si>
    <t>Documentación técnica</t>
  </si>
  <si>
    <t>6.2 CIERRE PROYECTO</t>
  </si>
  <si>
    <t>6.3 CIERRE PROYECTO</t>
  </si>
  <si>
    <t>Definición alcance y cronograma</t>
  </si>
  <si>
    <t>Estimación recursos y costos</t>
  </si>
  <si>
    <t>Plan comunicación stakeholders</t>
  </si>
  <si>
    <t>Obtención dataset calidad aire</t>
  </si>
  <si>
    <t>Limpieza y depuración datos</t>
  </si>
  <si>
    <t>Selección variables modelo</t>
  </si>
  <si>
    <t>Entrenamiento modelo IA</t>
  </si>
  <si>
    <t>Evaluación y optimización</t>
  </si>
  <si>
    <t>Diseño interfaz mockups</t>
  </si>
  <si>
    <t>6.1 DESPLIEGUE</t>
  </si>
  <si>
    <t>Configuración servidor cloud</t>
  </si>
  <si>
    <t>Cierre formal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</si>
</sst>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\ #,##0;[Red]\-&quot;$&quot;\ #,##0"/>
    <numFmt numFmtId="164" formatCode="&quot;$&quot;#,##0_);\(&quot;$&quot;#,##0\)"/>
    <numFmt numFmtId="165" formatCode="&quot;$&quot;#,##0.00_);\(&quot;$&quot;#,##0.00\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0.0"/>
    <numFmt numFmtId="169" formatCode="mm/dd/yy;@"/>
    <numFmt numFmtId="170" formatCode="_(&quot;$&quot;* #,##0_);_(&quot;$&quot;* \(#,##0\);_(&quot;$&quot;* &quot;-&quot;??_);_(@_)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0"/>
      <name val="Century Gothic"/>
      <family val="1"/>
    </font>
    <font>
      <sz val="10"/>
      <name val="Century Gothic"/>
      <family val="1"/>
    </font>
    <font>
      <sz val="10"/>
      <color theme="1"/>
      <name val="Century Gothic"/>
      <family val="1"/>
    </font>
    <font>
      <b/>
      <sz val="10"/>
      <name val="Century Gothic"/>
      <family val="1"/>
    </font>
    <font>
      <b/>
      <sz val="20"/>
      <color theme="0" tint="-0.499984740745262"/>
      <name val="Century Gothic"/>
      <family val="1"/>
    </font>
    <font>
      <sz val="11"/>
      <color theme="1"/>
      <name val="Calibri"/>
      <family val="2"/>
      <scheme val="minor"/>
    </font>
    <font>
      <b/>
      <sz val="22"/>
      <color theme="1" tint="0.34998626667073579"/>
      <name val="Century Gothic"/>
      <family val="1"/>
    </font>
    <font>
      <sz val="10"/>
      <color rgb="FF000000"/>
      <name val="Century Gothic"/>
      <family val="1"/>
    </font>
    <font>
      <b/>
      <sz val="10"/>
      <color theme="0"/>
      <name val="Century Gothic"/>
      <family val="2"/>
    </font>
    <font>
      <sz val="10"/>
      <name val="Century Gothic"/>
      <family val="2"/>
    </font>
    <font>
      <sz val="11"/>
      <color indexed="8"/>
      <name val="Century Gothic"/>
      <family val="1"/>
    </font>
    <font>
      <b/>
      <sz val="10"/>
      <color theme="1"/>
      <name val="Century Gothic"/>
      <family val="1"/>
    </font>
    <font>
      <sz val="22"/>
      <color theme="1" tint="0.34998626667073579"/>
      <name val="Century Gothic"/>
      <family val="1"/>
    </font>
    <font>
      <b/>
      <sz val="24"/>
      <color theme="1" tint="0.34998626667073579"/>
      <name val="Century Gothic"/>
      <family val="1"/>
    </font>
    <font>
      <sz val="12"/>
      <color theme="1" tint="0.34998626667073579"/>
      <name val="Century Gothic"/>
      <family val="1"/>
    </font>
  </fonts>
  <fills count="19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5EE9E7"/>
        <bgColor indexed="64"/>
      </patternFill>
    </fill>
    <fill>
      <patternFill patternType="solid">
        <fgColor rgb="FFABEFE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EAF0"/>
        <bgColor indexed="64"/>
      </patternFill>
    </fill>
    <fill>
      <patternFill patternType="solid">
        <fgColor rgb="FFB6FBF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/>
      <right style="dashed">
        <color theme="0" tint="-0.34998626667073579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249977111117893"/>
      </right>
      <top style="medium">
        <color theme="0" tint="-0.34998626667073579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34998626667073579"/>
      </top>
      <bottom/>
      <diagonal/>
    </border>
    <border>
      <left style="thin">
        <color theme="0" tint="-0.249977111117893"/>
      </left>
      <right/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 style="double">
        <color theme="0" tint="-0.34998626667073579"/>
      </right>
      <top style="medium">
        <color theme="0" tint="-0.34998626667073579"/>
      </top>
      <bottom/>
      <diagonal/>
    </border>
    <border>
      <left style="double">
        <color theme="0" tint="-0.34998626667073579"/>
      </left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166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/>
  </cellStyleXfs>
  <cellXfs count="100">
    <xf numFmtId="0" fontId="0" fillId="0" borderId="0" xfId="0"/>
    <xf numFmtId="168" fontId="4" fillId="3" borderId="0" xfId="0" applyNumberFormat="1" applyFont="1" applyFill="1" applyAlignment="1" applyProtection="1">
      <alignment wrapText="1"/>
      <protection locked="0"/>
    </xf>
    <xf numFmtId="165" fontId="4" fillId="3" borderId="0" xfId="1" applyNumberFormat="1" applyFont="1" applyFill="1" applyBorder="1" applyAlignment="1" applyProtection="1">
      <alignment wrapText="1"/>
      <protection locked="0"/>
    </xf>
    <xf numFmtId="167" fontId="6" fillId="3" borderId="0" xfId="0" applyNumberFormat="1" applyFont="1" applyFill="1" applyAlignment="1" applyProtection="1">
      <alignment horizontal="left" vertical="top" wrapText="1"/>
      <protection locked="0"/>
    </xf>
    <xf numFmtId="0" fontId="5" fillId="3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3" fillId="3" borderId="0" xfId="0" applyFont="1" applyFill="1" applyAlignment="1">
      <alignment horizontal="center" wrapText="1"/>
    </xf>
    <xf numFmtId="167" fontId="4" fillId="3" borderId="0" xfId="1" applyNumberFormat="1" applyFont="1" applyFill="1" applyBorder="1" applyAlignment="1" applyProtection="1">
      <alignment wrapText="1"/>
    </xf>
    <xf numFmtId="0" fontId="7" fillId="3" borderId="0" xfId="0" applyFont="1" applyFill="1" applyAlignment="1">
      <alignment vertical="center"/>
    </xf>
    <xf numFmtId="0" fontId="5" fillId="3" borderId="0" xfId="0" applyFont="1" applyFill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3" fillId="3" borderId="0" xfId="0" applyFont="1" applyFill="1" applyAlignment="1">
      <alignment horizontal="left" vertical="center" wrapText="1" indent="1"/>
    </xf>
    <xf numFmtId="168" fontId="4" fillId="3" borderId="0" xfId="0" applyNumberFormat="1" applyFont="1" applyFill="1" applyAlignment="1" applyProtection="1">
      <alignment horizontal="left" vertical="center" wrapText="1" indent="1"/>
      <protection locked="0"/>
    </xf>
    <xf numFmtId="165" fontId="4" fillId="3" borderId="0" xfId="1" applyNumberFormat="1" applyFont="1" applyFill="1" applyBorder="1" applyAlignment="1" applyProtection="1">
      <alignment horizontal="left" vertical="center" wrapText="1" indent="1"/>
      <protection locked="0"/>
    </xf>
    <xf numFmtId="167" fontId="4" fillId="3" borderId="0" xfId="1" applyNumberFormat="1" applyFont="1" applyFill="1" applyBorder="1" applyAlignment="1" applyProtection="1">
      <alignment horizontal="left" vertical="center" wrapText="1" indent="1"/>
    </xf>
    <xf numFmtId="167" fontId="6" fillId="3" borderId="0" xfId="0" applyNumberFormat="1" applyFont="1" applyFill="1" applyAlignment="1" applyProtection="1">
      <alignment horizontal="left" vertical="center" wrapText="1" indent="1"/>
      <protection locked="0"/>
    </xf>
    <xf numFmtId="0" fontId="5" fillId="0" borderId="1" xfId="0" applyFont="1" applyBorder="1" applyAlignment="1">
      <alignment horizontal="left" vertical="center" wrapText="1" indent="1"/>
    </xf>
    <xf numFmtId="0" fontId="5" fillId="8" borderId="1" xfId="0" applyFont="1" applyFill="1" applyBorder="1" applyAlignment="1">
      <alignment horizontal="left" vertical="center" wrapText="1" indent="1"/>
    </xf>
    <xf numFmtId="0" fontId="9" fillId="3" borderId="0" xfId="0" applyFont="1" applyFill="1" applyAlignment="1">
      <alignment vertical="center"/>
    </xf>
    <xf numFmtId="0" fontId="13" fillId="0" borderId="0" xfId="0" applyFont="1"/>
    <xf numFmtId="0" fontId="5" fillId="7" borderId="1" xfId="0" applyFont="1" applyFill="1" applyBorder="1" applyAlignment="1">
      <alignment horizontal="left" vertical="center" wrapText="1" indent="1"/>
    </xf>
    <xf numFmtId="0" fontId="5" fillId="10" borderId="1" xfId="0" applyFont="1" applyFill="1" applyBorder="1" applyAlignment="1">
      <alignment horizontal="left" vertical="center" wrapText="1" indent="1"/>
    </xf>
    <xf numFmtId="0" fontId="5" fillId="11" borderId="1" xfId="0" applyFont="1" applyFill="1" applyBorder="1" applyAlignment="1">
      <alignment horizontal="left" vertical="center" wrapText="1" indent="1"/>
    </xf>
    <xf numFmtId="0" fontId="10" fillId="12" borderId="1" xfId="0" applyFont="1" applyFill="1" applyBorder="1" applyAlignment="1">
      <alignment horizontal="left" vertical="center" indent="1"/>
    </xf>
    <xf numFmtId="0" fontId="10" fillId="13" borderId="1" xfId="0" applyFont="1" applyFill="1" applyBorder="1" applyAlignment="1">
      <alignment horizontal="left" vertical="center" indent="1"/>
    </xf>
    <xf numFmtId="0" fontId="10" fillId="7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left" vertical="center" indent="1"/>
    </xf>
    <xf numFmtId="0" fontId="10" fillId="15" borderId="1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vertical="center"/>
    </xf>
    <xf numFmtId="0" fontId="16" fillId="3" borderId="0" xfId="0" applyFont="1" applyFill="1" applyAlignment="1">
      <alignment vertical="center"/>
    </xf>
    <xf numFmtId="0" fontId="17" fillId="3" borderId="0" xfId="0" applyFont="1" applyFill="1" applyAlignment="1">
      <alignment vertical="center"/>
    </xf>
    <xf numFmtId="0" fontId="17" fillId="3" borderId="3" xfId="0" applyFont="1" applyFill="1" applyBorder="1" applyAlignment="1">
      <alignment vertical="center"/>
    </xf>
    <xf numFmtId="0" fontId="5" fillId="16" borderId="1" xfId="0" applyFont="1" applyFill="1" applyBorder="1" applyAlignment="1">
      <alignment horizontal="left" vertical="center" wrapText="1" indent="1"/>
    </xf>
    <xf numFmtId="0" fontId="10" fillId="17" borderId="1" xfId="0" applyFont="1" applyFill="1" applyBorder="1" applyAlignment="1">
      <alignment horizontal="left" vertical="center" wrapText="1" indent="1" readingOrder="1"/>
    </xf>
    <xf numFmtId="0" fontId="10" fillId="18" borderId="1" xfId="0" applyFont="1" applyFill="1" applyBorder="1" applyAlignment="1">
      <alignment horizontal="left" vertical="center" wrapText="1" indent="1" readingOrder="1"/>
    </xf>
    <xf numFmtId="165" fontId="4" fillId="0" borderId="0" xfId="1" applyNumberFormat="1" applyFont="1" applyFill="1" applyBorder="1" applyAlignment="1" applyProtection="1">
      <alignment horizontal="right" vertical="center"/>
      <protection locked="0"/>
    </xf>
    <xf numFmtId="164" fontId="4" fillId="0" borderId="0" xfId="1" applyNumberFormat="1" applyFont="1" applyFill="1" applyBorder="1" applyAlignment="1" applyProtection="1">
      <alignment vertical="center"/>
      <protection locked="0"/>
    </xf>
    <xf numFmtId="170" fontId="5" fillId="0" borderId="0" xfId="1" applyNumberFormat="1" applyFont="1" applyFill="1" applyBorder="1" applyAlignment="1" applyProtection="1">
      <alignment vertical="center"/>
    </xf>
    <xf numFmtId="0" fontId="17" fillId="0" borderId="0" xfId="0" applyFont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 indent="1"/>
    </xf>
    <xf numFmtId="169" fontId="5" fillId="0" borderId="0" xfId="0" applyNumberFormat="1" applyFont="1" applyAlignment="1">
      <alignment horizontal="left" vertical="center" wrapText="1" inden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 applyProtection="1">
      <alignment horizontal="left" vertical="center" wrapText="1" indent="1"/>
      <protection locked="0"/>
    </xf>
    <xf numFmtId="169" fontId="5" fillId="0" borderId="0" xfId="0" applyNumberFormat="1" applyFont="1" applyAlignment="1" applyProtection="1">
      <alignment horizontal="left" vertical="center" wrapText="1" indent="1"/>
      <protection locked="0"/>
    </xf>
    <xf numFmtId="168" fontId="4" fillId="0" borderId="0" xfId="0" applyNumberFormat="1" applyFont="1" applyAlignment="1" applyProtection="1">
      <alignment horizontal="center" vertical="center"/>
      <protection locked="0"/>
    </xf>
    <xf numFmtId="164" fontId="4" fillId="0" borderId="0" xfId="1" applyNumberFormat="1" applyFont="1" applyFill="1" applyBorder="1" applyAlignment="1" applyProtection="1">
      <alignment horizontal="right" vertical="center"/>
      <protection locked="0"/>
    </xf>
    <xf numFmtId="164" fontId="4" fillId="0" borderId="0" xfId="0" applyNumberFormat="1" applyFont="1" applyAlignment="1" applyProtection="1">
      <alignment horizontal="right" vertical="center"/>
      <protection locked="0"/>
    </xf>
    <xf numFmtId="170" fontId="4" fillId="0" borderId="0" xfId="1" applyNumberFormat="1" applyFont="1" applyFill="1" applyBorder="1" applyAlignment="1" applyProtection="1">
      <alignment horizontal="left" vertical="center"/>
      <protection locked="0"/>
    </xf>
    <xf numFmtId="170" fontId="5" fillId="0" borderId="0" xfId="1" applyNumberFormat="1" applyFont="1" applyFill="1" applyBorder="1" applyAlignment="1" applyProtection="1">
      <alignment horizontal="left" vertical="center"/>
    </xf>
    <xf numFmtId="0" fontId="3" fillId="0" borderId="0" xfId="0" applyFont="1" applyAlignment="1">
      <alignment horizontal="left" vertical="center" wrapText="1" indent="1"/>
    </xf>
    <xf numFmtId="169" fontId="11" fillId="0" borderId="0" xfId="0" applyNumberFormat="1" applyFont="1" applyAlignment="1">
      <alignment horizontal="left" vertical="center" wrapText="1" indent="1"/>
    </xf>
    <xf numFmtId="168" fontId="12" fillId="0" borderId="0" xfId="0" applyNumberFormat="1" applyFont="1" applyAlignment="1" applyProtection="1">
      <alignment horizontal="left" vertical="center"/>
      <protection locked="0"/>
    </xf>
    <xf numFmtId="165" fontId="11" fillId="0" borderId="0" xfId="1" applyNumberFormat="1" applyFont="1" applyFill="1" applyBorder="1" applyAlignment="1" applyProtection="1">
      <alignment vertical="center"/>
      <protection locked="0"/>
    </xf>
    <xf numFmtId="164" fontId="11" fillId="0" borderId="0" xfId="0" applyNumberFormat="1" applyFont="1" applyAlignment="1" applyProtection="1">
      <alignment vertical="center"/>
      <protection locked="0"/>
    </xf>
    <xf numFmtId="164" fontId="11" fillId="0" borderId="0" xfId="1" applyNumberFormat="1" applyFont="1" applyFill="1" applyBorder="1" applyAlignment="1" applyProtection="1">
      <alignment vertical="center"/>
      <protection locked="0"/>
    </xf>
    <xf numFmtId="170" fontId="11" fillId="0" borderId="0" xfId="1" applyNumberFormat="1" applyFont="1" applyFill="1" applyBorder="1" applyAlignment="1" applyProtection="1">
      <alignment vertical="center"/>
    </xf>
    <xf numFmtId="170" fontId="11" fillId="0" borderId="0" xfId="1" applyNumberFormat="1" applyFont="1" applyFill="1" applyBorder="1" applyAlignment="1" applyProtection="1">
      <alignment vertical="center"/>
      <protection locked="0"/>
    </xf>
    <xf numFmtId="0" fontId="0" fillId="0" borderId="4" xfId="0" applyBorder="1" applyAlignment="1">
      <alignment horizontal="center" vertical="center"/>
    </xf>
    <xf numFmtId="0" fontId="11" fillId="2" borderId="4" xfId="0" applyFont="1" applyFill="1" applyBorder="1" applyAlignment="1">
      <alignment horizontal="left" vertical="center" wrapText="1" indent="1"/>
    </xf>
    <xf numFmtId="0" fontId="11" fillId="2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left" vertical="center" wrapText="1" indent="1"/>
    </xf>
    <xf numFmtId="169" fontId="5" fillId="4" borderId="4" xfId="0" applyNumberFormat="1" applyFont="1" applyFill="1" applyBorder="1" applyAlignment="1">
      <alignment horizontal="left" vertical="center" wrapText="1" indent="1"/>
    </xf>
    <xf numFmtId="0" fontId="5" fillId="4" borderId="4" xfId="0" applyFont="1" applyFill="1" applyBorder="1" applyAlignment="1">
      <alignment horizontal="left" vertical="center"/>
    </xf>
    <xf numFmtId="0" fontId="5" fillId="4" borderId="4" xfId="0" applyFont="1" applyFill="1" applyBorder="1" applyAlignment="1">
      <alignment horizontal="center" vertical="center"/>
    </xf>
    <xf numFmtId="0" fontId="5" fillId="0" borderId="4" xfId="0" applyFont="1" applyBorder="1" applyAlignment="1" applyProtection="1">
      <alignment horizontal="left" vertical="center" wrapText="1" indent="1"/>
      <protection locked="0"/>
    </xf>
    <xf numFmtId="0" fontId="5" fillId="3" borderId="4" xfId="0" applyFont="1" applyFill="1" applyBorder="1" applyAlignment="1">
      <alignment horizontal="left" vertical="center" wrapText="1" indent="1"/>
    </xf>
    <xf numFmtId="16" fontId="0" fillId="0" borderId="4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164" fontId="4" fillId="4" borderId="4" xfId="1" applyNumberFormat="1" applyFont="1" applyFill="1" applyBorder="1" applyAlignment="1" applyProtection="1">
      <alignment horizontal="right" vertical="center"/>
      <protection locked="0"/>
    </xf>
    <xf numFmtId="168" fontId="4" fillId="0" borderId="4" xfId="0" applyNumberFormat="1" applyFont="1" applyBorder="1" applyAlignment="1" applyProtection="1">
      <alignment horizontal="center" vertical="center"/>
      <protection locked="0"/>
    </xf>
    <xf numFmtId="165" fontId="4" fillId="0" borderId="4" xfId="1" applyNumberFormat="1" applyFont="1" applyFill="1" applyBorder="1" applyAlignment="1" applyProtection="1">
      <alignment horizontal="right" vertical="center"/>
      <protection locked="0"/>
    </xf>
    <xf numFmtId="164" fontId="4" fillId="0" borderId="4" xfId="0" applyNumberFormat="1" applyFont="1" applyBorder="1" applyAlignment="1" applyProtection="1">
      <alignment horizontal="right" vertical="center"/>
      <protection locked="0"/>
    </xf>
    <xf numFmtId="164" fontId="4" fillId="0" borderId="4" xfId="1" applyNumberFormat="1" applyFont="1" applyFill="1" applyBorder="1" applyAlignment="1" applyProtection="1">
      <alignment vertical="center"/>
      <protection locked="0"/>
    </xf>
    <xf numFmtId="170" fontId="4" fillId="6" borderId="4" xfId="1" applyNumberFormat="1" applyFont="1" applyFill="1" applyBorder="1" applyAlignment="1" applyProtection="1">
      <alignment horizontal="left" vertical="center"/>
      <protection locked="0"/>
    </xf>
    <xf numFmtId="170" fontId="5" fillId="7" borderId="4" xfId="1" applyNumberFormat="1" applyFont="1" applyFill="1" applyBorder="1" applyAlignment="1" applyProtection="1">
      <alignment horizontal="left" vertical="center"/>
    </xf>
    <xf numFmtId="0" fontId="11" fillId="5" borderId="4" xfId="0" applyFont="1" applyFill="1" applyBorder="1" applyAlignment="1">
      <alignment horizontal="left" vertical="center" wrapText="1" indent="1"/>
    </xf>
    <xf numFmtId="0" fontId="3" fillId="5" borderId="4" xfId="0" applyFont="1" applyFill="1" applyBorder="1" applyAlignment="1">
      <alignment horizontal="left" vertical="center" wrapText="1" indent="1"/>
    </xf>
    <xf numFmtId="169" fontId="11" fillId="5" borderId="4" xfId="0" applyNumberFormat="1" applyFont="1" applyFill="1" applyBorder="1" applyAlignment="1">
      <alignment horizontal="left" vertical="center" wrapText="1" indent="1"/>
    </xf>
    <xf numFmtId="168" fontId="12" fillId="5" borderId="4" xfId="0" applyNumberFormat="1" applyFont="1" applyFill="1" applyBorder="1" applyAlignment="1" applyProtection="1">
      <alignment horizontal="left" vertical="center"/>
      <protection locked="0"/>
    </xf>
    <xf numFmtId="165" fontId="11" fillId="5" borderId="4" xfId="1" applyNumberFormat="1" applyFont="1" applyFill="1" applyBorder="1" applyAlignment="1" applyProtection="1">
      <alignment vertical="center"/>
      <protection locked="0"/>
    </xf>
    <xf numFmtId="164" fontId="11" fillId="5" borderId="4" xfId="0" applyNumberFormat="1" applyFont="1" applyFill="1" applyBorder="1" applyAlignment="1" applyProtection="1">
      <alignment vertical="center"/>
      <protection locked="0"/>
    </xf>
    <xf numFmtId="164" fontId="11" fillId="5" borderId="4" xfId="1" applyNumberFormat="1" applyFont="1" applyFill="1" applyBorder="1" applyAlignment="1" applyProtection="1">
      <alignment vertical="center"/>
      <protection locked="0"/>
    </xf>
    <xf numFmtId="170" fontId="11" fillId="5" borderId="4" xfId="1" applyNumberFormat="1" applyFont="1" applyFill="1" applyBorder="1" applyAlignment="1" applyProtection="1">
      <alignment vertical="center"/>
    </xf>
    <xf numFmtId="170" fontId="11" fillId="5" borderId="4" xfId="1" applyNumberFormat="1" applyFont="1" applyFill="1" applyBorder="1" applyAlignment="1" applyProtection="1">
      <alignment vertical="center"/>
      <protection locked="0"/>
    </xf>
    <xf numFmtId="16" fontId="0" fillId="0" borderId="0" xfId="0" applyNumberFormat="1" applyAlignment="1">
      <alignment horizontal="center" vertical="center"/>
    </xf>
    <xf numFmtId="0" fontId="4" fillId="0" borderId="4" xfId="0" applyNumberFormat="1" applyFont="1" applyBorder="1" applyAlignment="1" applyProtection="1">
      <alignment horizontal="center" vertical="center"/>
      <protection locked="0"/>
    </xf>
    <xf numFmtId="16" fontId="0" fillId="0" borderId="12" xfId="0" applyNumberFormat="1" applyBorder="1" applyAlignment="1">
      <alignment horizontal="center" vertical="center"/>
    </xf>
    <xf numFmtId="6" fontId="0" fillId="0" borderId="4" xfId="0" applyNumberFormat="1" applyBorder="1" applyAlignment="1">
      <alignment horizontal="center" vertical="center"/>
    </xf>
    <xf numFmtId="16" fontId="0" fillId="0" borderId="4" xfId="0" applyNumberFormat="1" applyFont="1" applyBorder="1" applyAlignment="1">
      <alignment horizontal="center" vertical="center"/>
    </xf>
    <xf numFmtId="0" fontId="11" fillId="9" borderId="5" xfId="0" applyFont="1" applyFill="1" applyBorder="1" applyAlignment="1">
      <alignment horizontal="center" vertical="center" wrapText="1"/>
    </xf>
    <xf numFmtId="0" fontId="11" fillId="9" borderId="6" xfId="0" applyFont="1" applyFill="1" applyBorder="1" applyAlignment="1">
      <alignment horizontal="center" vertical="center" wrapText="1"/>
    </xf>
    <xf numFmtId="0" fontId="11" fillId="9" borderId="7" xfId="0" applyFont="1" applyFill="1" applyBorder="1" applyAlignment="1">
      <alignment horizontal="center" vertical="center" wrapText="1"/>
    </xf>
    <xf numFmtId="0" fontId="11" fillId="9" borderId="8" xfId="0" applyFont="1" applyFill="1" applyBorder="1" applyAlignment="1">
      <alignment horizontal="center" vertical="center" wrapText="1"/>
    </xf>
    <xf numFmtId="0" fontId="11" fillId="9" borderId="9" xfId="0" applyFont="1" applyFill="1" applyBorder="1" applyAlignment="1">
      <alignment horizontal="center" vertical="center" wrapText="1"/>
    </xf>
    <xf numFmtId="0" fontId="11" fillId="9" borderId="10" xfId="0" applyFont="1" applyFill="1" applyBorder="1" applyAlignment="1">
      <alignment horizontal="center" vertical="center" wrapText="1"/>
    </xf>
    <xf numFmtId="0" fontId="11" fillId="9" borderId="1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</cellXfs>
  <cellStyles count="8">
    <cellStyle name="Hipervínculo visitado" xfId="6" builtinId="9" hidden="1"/>
    <cellStyle name="Hipervínculo visitado" xfId="4" builtinId="9" hidden="1"/>
    <cellStyle name="Hipervínculo visitado" xfId="5" builtinId="9" hidden="1"/>
    <cellStyle name="Hipervínculo visitado" xfId="3" builtinId="9" hidden="1"/>
    <cellStyle name="Hipervínculo visitado" xfId="2" builtinId="9" hidden="1"/>
    <cellStyle name="Moneda" xfId="1" builtinId="4"/>
    <cellStyle name="Normal" xfId="0" builtinId="0"/>
    <cellStyle name="Normal 2" xfId="7" xr:uid="{096755C3-0BB5-E94E-8E6C-945830891248}"/>
  </cellStyles>
  <dxfs count="42"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rgb="FF600000"/>
      </font>
      <fill>
        <patternFill>
          <bgColor rgb="FFFF927C"/>
        </patternFill>
      </fill>
    </dxf>
    <dxf>
      <font>
        <color theme="1"/>
      </font>
      <fill>
        <patternFill>
          <fgColor theme="1"/>
          <bgColor rgb="FFE7FFCA"/>
        </patternFill>
      </fill>
    </dxf>
    <dxf>
      <fill>
        <patternFill>
          <bgColor rgb="FF5EE9E7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ABEFEA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2CC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ill>
        <patternFill>
          <bgColor rgb="FF92D050"/>
        </patternFill>
      </fill>
    </dxf>
    <dxf>
      <fill>
        <patternFill>
          <bgColor rgb="FFABEFEA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5EE9E7"/>
        </patternFill>
      </fill>
    </dxf>
    <dxf>
      <fill>
        <patternFill>
          <bgColor rgb="FFFFF2CC"/>
        </patternFill>
      </fill>
    </dxf>
    <dxf>
      <fill>
        <patternFill>
          <bgColor rgb="FF00B050"/>
        </patternFill>
      </fill>
    </dxf>
    <dxf>
      <fill>
        <patternFill>
          <bgColor rgb="FF5EE9E7"/>
        </patternFill>
      </fill>
    </dxf>
    <dxf>
      <fill>
        <patternFill>
          <bgColor rgb="FFABEFEA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rgb="FF03C25B"/>
        </patternFill>
      </fill>
    </dxf>
    <dxf>
      <font>
        <color theme="1"/>
      </font>
      <fill>
        <patternFill>
          <bgColor rgb="FF92D050"/>
        </patternFill>
      </fill>
    </dxf>
  </dxfs>
  <tableStyles count="0" defaultTableStyle="TableStyleMedium9" defaultPivotStyle="PivotStyleMedium4"/>
  <colors>
    <mruColors>
      <color rgb="FFFFF2CC"/>
      <color rgb="FF5EE9E7"/>
      <color rgb="FFABEFEA"/>
      <color rgb="FF600000"/>
      <color rgb="FF880000"/>
      <color rgb="FFFF927C"/>
      <color rgb="FFFF8B78"/>
      <color rgb="FFE7FFCA"/>
      <color rgb="FFE8EFF9"/>
      <color rgb="FF00BD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externalLink" Target="externalLinks/externalLink1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externalLink" Target="externalLinks/externalLink2.xml" 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Risk-Assessment-and-Control-Template25" TargetMode="External" 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 Assessment &amp; Control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CA1F2-2597-1742-BA2F-7AF250B49533}">
  <sheetPr>
    <tabColor theme="3" tint="0.59999389629810485"/>
    <pageSetUpPr fitToPage="1"/>
  </sheetPr>
  <dimension ref="A1:AO426"/>
  <sheetViews>
    <sheetView showGridLines="0" tabSelected="1" zoomScale="73" zoomScaleNormal="73" workbookViewId="0">
      <selection activeCell="C23" sqref="C23"/>
    </sheetView>
  </sheetViews>
  <sheetFormatPr defaultColWidth="10.97265625" defaultRowHeight="12.75" x14ac:dyDescent="0.15"/>
  <cols>
    <col min="1" max="1" width="3.08203125" style="5" customWidth="1"/>
    <col min="2" max="2" width="21.703125" style="5" customWidth="1"/>
    <col min="3" max="3" width="22.31640625" style="5" customWidth="1"/>
    <col min="4" max="4" width="12.9453125" style="5" customWidth="1"/>
    <col min="5" max="5" width="14.0546875" style="5" customWidth="1"/>
    <col min="6" max="7" width="11.58984375" style="5" customWidth="1"/>
    <col min="8" max="8" width="8.875" style="5" customWidth="1"/>
    <col min="9" max="9" width="15.53515625" style="5" customWidth="1"/>
    <col min="10" max="10" width="11.8359375" style="5" customWidth="1"/>
    <col min="11" max="11" width="8.875" style="5" customWidth="1"/>
    <col min="12" max="12" width="12.9453125" style="5" customWidth="1"/>
    <col min="13" max="16" width="11.8359375" style="5" customWidth="1"/>
    <col min="17" max="19" width="12.9453125" style="5" customWidth="1"/>
    <col min="20" max="20" width="3.08203125" style="5" customWidth="1"/>
    <col min="21" max="16384" width="10.97265625" style="5"/>
  </cols>
  <sheetData>
    <row r="1" spans="1:41" ht="45" customHeight="1" thickBot="1" x14ac:dyDescent="0.2">
      <c r="A1" s="4"/>
      <c r="B1" s="30" t="s">
        <v>3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8"/>
      <c r="P1" s="8"/>
      <c r="Q1" s="8"/>
      <c r="R1" s="8"/>
      <c r="S1" s="8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</row>
    <row r="2" spans="1:41" s="10" customFormat="1" ht="35.1" customHeight="1" x14ac:dyDescent="0.2">
      <c r="A2" s="9"/>
      <c r="B2" s="31"/>
      <c r="C2" s="31"/>
      <c r="D2" s="31"/>
      <c r="E2" s="31"/>
      <c r="F2" s="31"/>
      <c r="G2" s="32"/>
      <c r="H2" s="92" t="s">
        <v>4</v>
      </c>
      <c r="I2" s="93"/>
      <c r="J2" s="93"/>
      <c r="K2" s="93" t="s">
        <v>5</v>
      </c>
      <c r="L2" s="93"/>
      <c r="M2" s="93"/>
      <c r="N2" s="94" t="s">
        <v>6</v>
      </c>
      <c r="O2" s="95"/>
      <c r="P2" s="96"/>
      <c r="Q2" s="97" t="s">
        <v>7</v>
      </c>
      <c r="R2" s="95"/>
      <c r="S2" s="98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</row>
    <row r="3" spans="1:41" s="10" customFormat="1" ht="35.1" customHeight="1" x14ac:dyDescent="0.15">
      <c r="A3" s="9"/>
      <c r="B3" s="61" t="s">
        <v>8</v>
      </c>
      <c r="C3" s="61" t="s">
        <v>9</v>
      </c>
      <c r="D3" s="61" t="s">
        <v>10</v>
      </c>
      <c r="E3" s="62" t="s">
        <v>11</v>
      </c>
      <c r="F3" s="62" t="s">
        <v>12</v>
      </c>
      <c r="G3" s="62" t="s">
        <v>13</v>
      </c>
      <c r="H3" s="62" t="s">
        <v>14</v>
      </c>
      <c r="I3" s="62" t="s">
        <v>15</v>
      </c>
      <c r="J3" s="62" t="s">
        <v>16</v>
      </c>
      <c r="K3" s="62" t="s">
        <v>17</v>
      </c>
      <c r="L3" s="62" t="s">
        <v>18</v>
      </c>
      <c r="M3" s="62" t="s">
        <v>19</v>
      </c>
      <c r="N3" s="62" t="s">
        <v>20</v>
      </c>
      <c r="O3" s="62" t="s">
        <v>21</v>
      </c>
      <c r="P3" s="62" t="s">
        <v>22</v>
      </c>
      <c r="Q3" s="62" t="s">
        <v>23</v>
      </c>
      <c r="R3" s="62" t="s">
        <v>24</v>
      </c>
      <c r="S3" s="62" t="s">
        <v>25</v>
      </c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</row>
    <row r="4" spans="1:41" s="10" customFormat="1" ht="30" customHeight="1" x14ac:dyDescent="0.2">
      <c r="A4" s="9"/>
      <c r="B4" s="63" t="s">
        <v>1</v>
      </c>
      <c r="C4" s="63"/>
      <c r="D4" s="63"/>
      <c r="E4" s="64"/>
      <c r="F4" s="64"/>
      <c r="G4" s="64"/>
      <c r="H4" s="65"/>
      <c r="I4" s="65"/>
      <c r="J4" s="65"/>
      <c r="K4" s="65"/>
      <c r="L4" s="65"/>
      <c r="M4" s="65"/>
      <c r="N4" s="65"/>
      <c r="O4" s="65"/>
      <c r="P4" s="66"/>
      <c r="Q4" s="66"/>
      <c r="R4" s="66"/>
      <c r="S4" s="66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</row>
    <row r="5" spans="1:41" s="10" customFormat="1" ht="63" customHeight="1" x14ac:dyDescent="0.15">
      <c r="A5" s="9"/>
      <c r="B5" s="67" t="s">
        <v>41</v>
      </c>
      <c r="C5" s="67" t="s">
        <v>40</v>
      </c>
      <c r="D5" s="68" t="s">
        <v>33</v>
      </c>
      <c r="E5" s="69">
        <v>46060</v>
      </c>
      <c r="F5" s="69">
        <v>46060</v>
      </c>
      <c r="G5" s="69">
        <v>46069</v>
      </c>
      <c r="H5" s="60">
        <v>80</v>
      </c>
      <c r="I5" s="70">
        <v>100000</v>
      </c>
      <c r="J5" s="71">
        <v>8000000</v>
      </c>
      <c r="K5" s="72">
        <v>1</v>
      </c>
      <c r="L5" s="73">
        <v>50000</v>
      </c>
      <c r="M5" s="71">
        <v>50000</v>
      </c>
      <c r="N5" s="74">
        <v>60000</v>
      </c>
      <c r="O5" s="74">
        <v>0</v>
      </c>
      <c r="P5" s="75">
        <v>40000</v>
      </c>
      <c r="Q5" s="90">
        <v>8150000</v>
      </c>
      <c r="R5" s="76">
        <v>8150000</v>
      </c>
      <c r="S5" s="77">
        <f t="shared" ref="S5:S22" si="0">R5-Q5</f>
        <v>0</v>
      </c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</row>
    <row r="6" spans="1:41" s="10" customFormat="1" ht="84.6" customHeight="1" x14ac:dyDescent="0.15">
      <c r="A6" s="9"/>
      <c r="B6" s="67" t="s">
        <v>42</v>
      </c>
      <c r="C6" s="67" t="s">
        <v>64</v>
      </c>
      <c r="D6" s="68" t="s">
        <v>33</v>
      </c>
      <c r="E6" s="89">
        <v>46070</v>
      </c>
      <c r="F6" s="89">
        <v>46070</v>
      </c>
      <c r="G6" s="87">
        <v>46080</v>
      </c>
      <c r="H6" s="88">
        <v>88</v>
      </c>
      <c r="I6" s="70">
        <v>100000</v>
      </c>
      <c r="J6" s="71">
        <v>8800000</v>
      </c>
      <c r="K6" s="72">
        <v>1</v>
      </c>
      <c r="L6" s="73">
        <v>50000</v>
      </c>
      <c r="M6" s="71">
        <v>50000</v>
      </c>
      <c r="N6" s="74">
        <v>40000</v>
      </c>
      <c r="O6" s="74">
        <v>0</v>
      </c>
      <c r="P6" s="75">
        <v>40000</v>
      </c>
      <c r="Q6" s="90">
        <v>8930000</v>
      </c>
      <c r="R6" s="76">
        <v>8930000</v>
      </c>
      <c r="S6" s="77">
        <f t="shared" si="0"/>
        <v>0</v>
      </c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</row>
    <row r="7" spans="1:41" s="10" customFormat="1" ht="56.45" customHeight="1" x14ac:dyDescent="0.15">
      <c r="A7" s="9"/>
      <c r="B7" s="67" t="s">
        <v>43</v>
      </c>
      <c r="C7" s="67" t="s">
        <v>65</v>
      </c>
      <c r="D7" s="68" t="s">
        <v>33</v>
      </c>
      <c r="E7" s="69">
        <v>46081</v>
      </c>
      <c r="F7" s="69">
        <v>46081</v>
      </c>
      <c r="G7" s="69">
        <v>46087</v>
      </c>
      <c r="H7" s="88">
        <v>56</v>
      </c>
      <c r="I7" s="70">
        <v>100000</v>
      </c>
      <c r="J7" s="71">
        <v>5600000</v>
      </c>
      <c r="K7" s="72">
        <v>1</v>
      </c>
      <c r="L7" s="73">
        <v>30000</v>
      </c>
      <c r="M7" s="71">
        <v>30000</v>
      </c>
      <c r="N7" s="74">
        <v>0</v>
      </c>
      <c r="O7" s="74">
        <v>0</v>
      </c>
      <c r="P7" s="75">
        <v>30000</v>
      </c>
      <c r="Q7" s="70">
        <v>5660000</v>
      </c>
      <c r="R7" s="76">
        <v>5660000</v>
      </c>
      <c r="S7" s="77">
        <f t="shared" si="0"/>
        <v>0</v>
      </c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</row>
    <row r="8" spans="1:41" s="10" customFormat="1" ht="52.9" customHeight="1" x14ac:dyDescent="0.15">
      <c r="A8" s="9"/>
      <c r="B8" s="67" t="s">
        <v>44</v>
      </c>
      <c r="C8" s="67" t="s">
        <v>46</v>
      </c>
      <c r="D8" s="68" t="s">
        <v>31</v>
      </c>
      <c r="E8" s="69">
        <v>46088</v>
      </c>
      <c r="F8" s="69">
        <v>46088</v>
      </c>
      <c r="G8" s="69">
        <v>46094</v>
      </c>
      <c r="H8" s="88">
        <v>56</v>
      </c>
      <c r="I8" s="70">
        <v>100000</v>
      </c>
      <c r="J8" s="71">
        <v>5600000</v>
      </c>
      <c r="K8" s="72">
        <v>0</v>
      </c>
      <c r="L8" s="73">
        <v>0</v>
      </c>
      <c r="M8" s="71">
        <v>0</v>
      </c>
      <c r="N8" s="74">
        <v>0</v>
      </c>
      <c r="O8" s="74">
        <v>0</v>
      </c>
      <c r="P8" s="75">
        <v>30000</v>
      </c>
      <c r="Q8" s="70">
        <v>5630000</v>
      </c>
      <c r="R8" s="76">
        <v>5630000</v>
      </c>
      <c r="S8" s="77">
        <f t="shared" si="0"/>
        <v>0</v>
      </c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</row>
    <row r="9" spans="1:41" s="10" customFormat="1" ht="46.9" customHeight="1" x14ac:dyDescent="0.15">
      <c r="A9" s="9"/>
      <c r="B9" s="67" t="s">
        <v>45</v>
      </c>
      <c r="C9" s="67" t="s">
        <v>66</v>
      </c>
      <c r="D9" s="68" t="s">
        <v>31</v>
      </c>
      <c r="E9" s="91">
        <v>46095</v>
      </c>
      <c r="F9" s="91">
        <v>46095</v>
      </c>
      <c r="G9" s="69">
        <v>46101</v>
      </c>
      <c r="H9" s="88">
        <v>56</v>
      </c>
      <c r="I9" s="70">
        <v>100000</v>
      </c>
      <c r="J9" s="71">
        <v>5600000</v>
      </c>
      <c r="K9" s="72">
        <v>1</v>
      </c>
      <c r="L9" s="73">
        <v>20000</v>
      </c>
      <c r="M9" s="71">
        <v>20000</v>
      </c>
      <c r="N9" s="74">
        <v>0</v>
      </c>
      <c r="O9" s="74">
        <v>0</v>
      </c>
      <c r="P9" s="75">
        <v>30000</v>
      </c>
      <c r="Q9" s="70">
        <v>5650000</v>
      </c>
      <c r="R9" s="76">
        <v>5650000</v>
      </c>
      <c r="S9" s="77">
        <f t="shared" si="0"/>
        <v>0</v>
      </c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</row>
    <row r="10" spans="1:41" s="10" customFormat="1" ht="46.9" customHeight="1" x14ac:dyDescent="0.15">
      <c r="A10" s="9"/>
      <c r="B10" s="67" t="s">
        <v>47</v>
      </c>
      <c r="C10" s="67" t="s">
        <v>67</v>
      </c>
      <c r="D10" s="68" t="s">
        <v>31</v>
      </c>
      <c r="E10" s="91">
        <v>46102</v>
      </c>
      <c r="F10" s="91">
        <v>46102</v>
      </c>
      <c r="G10" s="87">
        <v>46106</v>
      </c>
      <c r="H10" s="88">
        <v>40</v>
      </c>
      <c r="I10" s="70">
        <v>90000</v>
      </c>
      <c r="J10" s="71">
        <v>3600000</v>
      </c>
      <c r="K10" s="72">
        <v>1</v>
      </c>
      <c r="L10" s="73">
        <v>80000</v>
      </c>
      <c r="M10" s="71">
        <v>80000</v>
      </c>
      <c r="N10" s="74">
        <v>50000</v>
      </c>
      <c r="O10" s="74">
        <v>0</v>
      </c>
      <c r="P10" s="75">
        <v>30000</v>
      </c>
      <c r="Q10" s="70">
        <v>3760000</v>
      </c>
      <c r="R10" s="76">
        <v>3760000</v>
      </c>
      <c r="S10" s="77">
        <f t="shared" si="0"/>
        <v>0</v>
      </c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</row>
    <row r="11" spans="1:41" s="10" customFormat="1" ht="46.9" customHeight="1" x14ac:dyDescent="0.15">
      <c r="A11" s="9"/>
      <c r="B11" s="67" t="s">
        <v>48</v>
      </c>
      <c r="C11" s="67" t="s">
        <v>68</v>
      </c>
      <c r="D11" s="68" t="s">
        <v>31</v>
      </c>
      <c r="E11" s="91">
        <v>46107</v>
      </c>
      <c r="F11" s="91">
        <v>46107</v>
      </c>
      <c r="G11" s="69">
        <v>46112</v>
      </c>
      <c r="H11" s="88">
        <v>48</v>
      </c>
      <c r="I11" s="70">
        <v>90000</v>
      </c>
      <c r="J11" s="71">
        <v>4320000</v>
      </c>
      <c r="K11" s="72">
        <v>1</v>
      </c>
      <c r="L11" s="73">
        <v>40000</v>
      </c>
      <c r="M11" s="71">
        <v>40000</v>
      </c>
      <c r="N11" s="74">
        <v>0</v>
      </c>
      <c r="O11" s="74">
        <v>0</v>
      </c>
      <c r="P11" s="75">
        <v>30000</v>
      </c>
      <c r="Q11" s="70">
        <v>4390000</v>
      </c>
      <c r="R11" s="76">
        <v>4390000</v>
      </c>
      <c r="S11" s="77">
        <f t="shared" si="0"/>
        <v>0</v>
      </c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</row>
    <row r="12" spans="1:41" s="10" customFormat="1" ht="46.9" customHeight="1" x14ac:dyDescent="0.15">
      <c r="A12" s="9"/>
      <c r="B12" s="67" t="s">
        <v>49</v>
      </c>
      <c r="C12" s="67" t="s">
        <v>50</v>
      </c>
      <c r="D12" s="68" t="s">
        <v>31</v>
      </c>
      <c r="E12" s="91">
        <v>46113</v>
      </c>
      <c r="F12" s="91">
        <v>46113</v>
      </c>
      <c r="G12" s="69">
        <v>46117</v>
      </c>
      <c r="H12" s="88">
        <v>40</v>
      </c>
      <c r="I12" s="70">
        <v>90000</v>
      </c>
      <c r="J12" s="71">
        <v>3600000</v>
      </c>
      <c r="K12" s="72">
        <v>1</v>
      </c>
      <c r="L12" s="73">
        <v>30000</v>
      </c>
      <c r="M12" s="71">
        <v>30000</v>
      </c>
      <c r="N12" s="74">
        <v>0</v>
      </c>
      <c r="O12" s="74">
        <v>0</v>
      </c>
      <c r="P12" s="75">
        <v>30000</v>
      </c>
      <c r="Q12" s="70">
        <v>3660000</v>
      </c>
      <c r="R12" s="76">
        <v>3660000</v>
      </c>
      <c r="S12" s="77">
        <f t="shared" si="0"/>
        <v>0</v>
      </c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</row>
    <row r="13" spans="1:41" s="10" customFormat="1" ht="46.9" customHeight="1" x14ac:dyDescent="0.15">
      <c r="A13" s="9"/>
      <c r="B13" s="67" t="s">
        <v>51</v>
      </c>
      <c r="C13" s="67" t="s">
        <v>69</v>
      </c>
      <c r="D13" s="68" t="s">
        <v>31</v>
      </c>
      <c r="E13" s="91">
        <v>46118</v>
      </c>
      <c r="F13" s="91">
        <v>46118</v>
      </c>
      <c r="G13" s="69">
        <v>46122</v>
      </c>
      <c r="H13" s="88">
        <v>40</v>
      </c>
      <c r="I13" s="70">
        <v>90000</v>
      </c>
      <c r="J13" s="71">
        <v>3600000</v>
      </c>
      <c r="K13" s="72">
        <v>1</v>
      </c>
      <c r="L13" s="73">
        <v>20000</v>
      </c>
      <c r="M13" s="71">
        <v>20000</v>
      </c>
      <c r="N13" s="74">
        <v>0</v>
      </c>
      <c r="O13" s="74">
        <v>0</v>
      </c>
      <c r="P13" s="75">
        <v>30000</v>
      </c>
      <c r="Q13" s="70">
        <v>3650000</v>
      </c>
      <c r="R13" s="76">
        <v>3650000</v>
      </c>
      <c r="S13" s="77">
        <f t="shared" si="0"/>
        <v>0</v>
      </c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</row>
    <row r="14" spans="1:41" s="10" customFormat="1" ht="46.9" customHeight="1" x14ac:dyDescent="0.15">
      <c r="A14" s="9"/>
      <c r="B14" s="67" t="s">
        <v>52</v>
      </c>
      <c r="C14" s="67" t="s">
        <v>53</v>
      </c>
      <c r="D14" s="68" t="s">
        <v>31</v>
      </c>
      <c r="E14" s="91">
        <v>46123</v>
      </c>
      <c r="F14" s="91">
        <v>46123</v>
      </c>
      <c r="G14" s="69">
        <v>46126</v>
      </c>
      <c r="H14" s="88">
        <v>32</v>
      </c>
      <c r="I14" s="70">
        <v>120000</v>
      </c>
      <c r="J14" s="71">
        <v>3840000</v>
      </c>
      <c r="K14" s="72">
        <v>0</v>
      </c>
      <c r="L14" s="73">
        <v>0</v>
      </c>
      <c r="M14" s="71">
        <v>0</v>
      </c>
      <c r="N14" s="74">
        <v>0</v>
      </c>
      <c r="O14" s="74">
        <v>0</v>
      </c>
      <c r="P14" s="75">
        <v>30000</v>
      </c>
      <c r="Q14" s="70">
        <v>3870000</v>
      </c>
      <c r="R14" s="76">
        <v>3870000</v>
      </c>
      <c r="S14" s="77">
        <f t="shared" si="0"/>
        <v>0</v>
      </c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</row>
    <row r="15" spans="1:41" s="10" customFormat="1" ht="46.9" customHeight="1" x14ac:dyDescent="0.2">
      <c r="A15" s="9"/>
      <c r="B15" s="67" t="s">
        <v>54</v>
      </c>
      <c r="C15" s="67" t="s">
        <v>70</v>
      </c>
      <c r="D15" s="68" t="s">
        <v>31</v>
      </c>
      <c r="E15" s="91">
        <v>46127</v>
      </c>
      <c r="F15" s="91">
        <v>46127</v>
      </c>
      <c r="G15" s="69">
        <v>46131</v>
      </c>
      <c r="H15" s="88">
        <v>40</v>
      </c>
      <c r="I15" s="70">
        <v>120000</v>
      </c>
      <c r="J15" s="71">
        <v>4800000</v>
      </c>
      <c r="K15" s="72">
        <v>1</v>
      </c>
      <c r="L15" s="73">
        <v>0</v>
      </c>
      <c r="M15" s="71">
        <v>0</v>
      </c>
      <c r="N15" s="74">
        <v>0</v>
      </c>
      <c r="O15" s="74">
        <v>600000</v>
      </c>
      <c r="P15" s="75">
        <v>30000</v>
      </c>
      <c r="Q15" s="70">
        <v>5430000</v>
      </c>
      <c r="R15" s="76">
        <v>5430000</v>
      </c>
      <c r="S15" s="77">
        <f t="shared" si="0"/>
        <v>0</v>
      </c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</row>
    <row r="16" spans="1:41" s="10" customFormat="1" ht="46.9" customHeight="1" x14ac:dyDescent="0.15">
      <c r="A16" s="9"/>
      <c r="B16" s="67" t="s">
        <v>55</v>
      </c>
      <c r="C16" s="67" t="s">
        <v>71</v>
      </c>
      <c r="D16" s="68" t="s">
        <v>31</v>
      </c>
      <c r="E16" s="91">
        <v>46132</v>
      </c>
      <c r="F16" s="91">
        <v>46132</v>
      </c>
      <c r="G16" s="69">
        <v>46136</v>
      </c>
      <c r="H16" s="88">
        <v>40</v>
      </c>
      <c r="I16" s="70">
        <v>120000</v>
      </c>
      <c r="J16" s="71">
        <v>4800000</v>
      </c>
      <c r="K16" s="72">
        <v>0</v>
      </c>
      <c r="L16" s="73">
        <v>0</v>
      </c>
      <c r="M16" s="71">
        <v>0</v>
      </c>
      <c r="N16" s="74">
        <v>0</v>
      </c>
      <c r="O16" s="74">
        <v>0</v>
      </c>
      <c r="P16" s="75">
        <v>30000</v>
      </c>
      <c r="Q16" s="70">
        <v>4830000</v>
      </c>
      <c r="R16" s="76">
        <v>4830000</v>
      </c>
      <c r="S16" s="77">
        <f t="shared" si="0"/>
        <v>0</v>
      </c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</row>
    <row r="17" spans="1:41" s="10" customFormat="1" ht="46.9" customHeight="1" x14ac:dyDescent="0.15">
      <c r="A17" s="9"/>
      <c r="B17" s="67" t="s">
        <v>56</v>
      </c>
      <c r="C17" s="67" t="s">
        <v>72</v>
      </c>
      <c r="D17" s="68" t="s">
        <v>31</v>
      </c>
      <c r="E17" s="91">
        <v>46137</v>
      </c>
      <c r="F17" s="91">
        <v>46137</v>
      </c>
      <c r="G17" s="69">
        <v>46139</v>
      </c>
      <c r="H17" s="88">
        <v>24</v>
      </c>
      <c r="I17" s="70">
        <v>80000</v>
      </c>
      <c r="J17" s="71">
        <v>1920000</v>
      </c>
      <c r="K17" s="72">
        <v>1</v>
      </c>
      <c r="L17" s="73">
        <v>90000</v>
      </c>
      <c r="M17" s="71">
        <v>90000</v>
      </c>
      <c r="N17" s="74">
        <v>0</v>
      </c>
      <c r="O17" s="74">
        <v>0</v>
      </c>
      <c r="P17" s="75">
        <v>30000</v>
      </c>
      <c r="Q17" s="70">
        <v>2040000</v>
      </c>
      <c r="R17" s="76">
        <v>2040000</v>
      </c>
      <c r="S17" s="77">
        <f t="shared" si="0"/>
        <v>0</v>
      </c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</row>
    <row r="18" spans="1:41" s="10" customFormat="1" ht="46.9" customHeight="1" x14ac:dyDescent="0.2">
      <c r="A18" s="9"/>
      <c r="B18" s="67" t="s">
        <v>57</v>
      </c>
      <c r="C18" s="67" t="s">
        <v>58</v>
      </c>
      <c r="D18" s="68" t="s">
        <v>31</v>
      </c>
      <c r="E18" s="91">
        <v>46140</v>
      </c>
      <c r="F18" s="91">
        <v>46140</v>
      </c>
      <c r="G18" s="69">
        <v>46142</v>
      </c>
      <c r="H18" s="88">
        <v>24</v>
      </c>
      <c r="I18" s="70">
        <v>80000</v>
      </c>
      <c r="J18" s="71">
        <v>1920000</v>
      </c>
      <c r="K18" s="72">
        <v>0</v>
      </c>
      <c r="L18" s="73">
        <v>0</v>
      </c>
      <c r="M18" s="71">
        <v>0</v>
      </c>
      <c r="N18" s="74">
        <v>0</v>
      </c>
      <c r="O18" s="74">
        <v>4500000</v>
      </c>
      <c r="P18" s="75">
        <v>30000</v>
      </c>
      <c r="Q18" s="70">
        <v>6450000</v>
      </c>
      <c r="R18" s="76">
        <v>6450000</v>
      </c>
      <c r="S18" s="77">
        <f t="shared" si="0"/>
        <v>0</v>
      </c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</row>
    <row r="19" spans="1:41" s="10" customFormat="1" ht="46.9" customHeight="1" x14ac:dyDescent="0.15">
      <c r="A19" s="9"/>
      <c r="B19" s="67" t="s">
        <v>59</v>
      </c>
      <c r="C19" s="67" t="s">
        <v>60</v>
      </c>
      <c r="D19" s="68" t="s">
        <v>31</v>
      </c>
      <c r="E19" s="91">
        <v>46143</v>
      </c>
      <c r="F19" s="91">
        <v>46143</v>
      </c>
      <c r="G19" s="69">
        <v>46145</v>
      </c>
      <c r="H19" s="88">
        <v>24</v>
      </c>
      <c r="I19" s="70">
        <v>100000</v>
      </c>
      <c r="J19" s="71">
        <v>2400000</v>
      </c>
      <c r="K19" s="72">
        <v>1</v>
      </c>
      <c r="L19" s="73">
        <v>200000</v>
      </c>
      <c r="M19" s="71">
        <v>200000</v>
      </c>
      <c r="N19" s="74">
        <v>0</v>
      </c>
      <c r="O19" s="74">
        <v>7000000</v>
      </c>
      <c r="P19" s="75">
        <v>30000</v>
      </c>
      <c r="Q19" s="70">
        <v>9630000</v>
      </c>
      <c r="R19" s="76">
        <v>9630000</v>
      </c>
      <c r="S19" s="77">
        <f t="shared" si="0"/>
        <v>0</v>
      </c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</row>
    <row r="20" spans="1:41" s="10" customFormat="1" ht="46.9" customHeight="1" x14ac:dyDescent="0.15">
      <c r="A20" s="9"/>
      <c r="B20" s="67" t="s">
        <v>73</v>
      </c>
      <c r="C20" s="67" t="s">
        <v>74</v>
      </c>
      <c r="D20" s="68" t="s">
        <v>31</v>
      </c>
      <c r="E20" s="91">
        <v>46146</v>
      </c>
      <c r="F20" s="91">
        <v>46146</v>
      </c>
      <c r="G20" s="69">
        <v>46147</v>
      </c>
      <c r="H20" s="88">
        <v>16</v>
      </c>
      <c r="I20" s="70">
        <v>100000</v>
      </c>
      <c r="J20" s="71">
        <v>1600000</v>
      </c>
      <c r="K20" s="72">
        <v>1</v>
      </c>
      <c r="L20" s="73">
        <v>390000</v>
      </c>
      <c r="M20" s="71">
        <v>390000</v>
      </c>
      <c r="N20" s="74">
        <v>0</v>
      </c>
      <c r="O20" s="74">
        <v>0</v>
      </c>
      <c r="P20" s="75">
        <v>30000</v>
      </c>
      <c r="Q20" s="70">
        <v>2020000</v>
      </c>
      <c r="R20" s="76">
        <v>2020000</v>
      </c>
      <c r="S20" s="77">
        <f t="shared" si="0"/>
        <v>0</v>
      </c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</row>
    <row r="21" spans="1:41" s="10" customFormat="1" ht="46.9" customHeight="1" x14ac:dyDescent="0.15">
      <c r="A21" s="9"/>
      <c r="B21" s="67" t="s">
        <v>62</v>
      </c>
      <c r="C21" s="67" t="s">
        <v>61</v>
      </c>
      <c r="D21" s="68" t="s">
        <v>31</v>
      </c>
      <c r="E21" s="91">
        <v>46148</v>
      </c>
      <c r="F21" s="91">
        <v>46148</v>
      </c>
      <c r="G21" s="69">
        <v>46149</v>
      </c>
      <c r="H21" s="88">
        <v>16</v>
      </c>
      <c r="I21" s="70">
        <v>90000</v>
      </c>
      <c r="J21" s="71">
        <v>1440000</v>
      </c>
      <c r="K21" s="72">
        <v>1</v>
      </c>
      <c r="L21" s="73">
        <v>70000</v>
      </c>
      <c r="M21" s="71">
        <v>70000</v>
      </c>
      <c r="N21" s="74">
        <v>0</v>
      </c>
      <c r="O21" s="74">
        <v>0</v>
      </c>
      <c r="P21" s="75">
        <v>30000</v>
      </c>
      <c r="Q21" s="70">
        <v>1540000</v>
      </c>
      <c r="R21" s="76">
        <v>1540000</v>
      </c>
      <c r="S21" s="77">
        <f t="shared" si="0"/>
        <v>0</v>
      </c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</row>
    <row r="22" spans="1:41" s="10" customFormat="1" ht="33.6" customHeight="1" x14ac:dyDescent="0.2">
      <c r="A22" s="9"/>
      <c r="B22" s="67" t="s">
        <v>63</v>
      </c>
      <c r="C22" s="67" t="s">
        <v>75</v>
      </c>
      <c r="D22" s="68" t="s">
        <v>31</v>
      </c>
      <c r="E22" s="91">
        <v>46150</v>
      </c>
      <c r="F22" s="91">
        <v>46150</v>
      </c>
      <c r="G22" s="69">
        <v>46150</v>
      </c>
      <c r="H22" s="88">
        <v>8</v>
      </c>
      <c r="I22" s="70">
        <v>100000</v>
      </c>
      <c r="J22" s="71">
        <v>800000</v>
      </c>
      <c r="K22" s="72">
        <v>0</v>
      </c>
      <c r="L22" s="73">
        <v>0</v>
      </c>
      <c r="M22" s="71">
        <v>0</v>
      </c>
      <c r="N22" s="74">
        <v>0</v>
      </c>
      <c r="O22" s="74">
        <v>0</v>
      </c>
      <c r="P22" s="75">
        <v>30000</v>
      </c>
      <c r="Q22" s="70">
        <v>830000</v>
      </c>
      <c r="R22" s="76">
        <v>830000</v>
      </c>
      <c r="S22" s="77">
        <f t="shared" si="0"/>
        <v>0</v>
      </c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</row>
    <row r="23" spans="1:41" s="10" customFormat="1" ht="30" customHeight="1" x14ac:dyDescent="0.2">
      <c r="A23" s="9"/>
      <c r="B23" s="78" t="s">
        <v>0</v>
      </c>
      <c r="C23" s="78"/>
      <c r="D23" s="79"/>
      <c r="E23" s="80"/>
      <c r="F23" s="80"/>
      <c r="G23" s="80"/>
      <c r="H23" s="81"/>
      <c r="I23" s="82"/>
      <c r="J23" s="83">
        <f>SUM(J5:J22)</f>
        <v>72240000</v>
      </c>
      <c r="K23" s="83"/>
      <c r="L23" s="83"/>
      <c r="M23" s="83">
        <f>SUM(M5:M22)</f>
        <v>1070000</v>
      </c>
      <c r="N23" s="83">
        <f>SUM(N5:N22)</f>
        <v>150000</v>
      </c>
      <c r="O23" s="83">
        <f>SUM(O5:O22)</f>
        <v>12100000</v>
      </c>
      <c r="P23" s="84">
        <f>SUM(P5:P22)</f>
        <v>560000</v>
      </c>
      <c r="Q23" s="85">
        <f>SUM(Q5:Q22)</f>
        <v>86120000</v>
      </c>
      <c r="R23" s="86">
        <f>SUM(J23:P23)</f>
        <v>86120000</v>
      </c>
      <c r="S23" s="86">
        <f>R23-Q23</f>
        <v>0</v>
      </c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</row>
    <row r="24" spans="1:41" s="10" customFormat="1" ht="11.1" customHeight="1" x14ac:dyDescent="0.2">
      <c r="A24" s="9"/>
      <c r="B24" s="11"/>
      <c r="C24" s="11"/>
      <c r="D24" s="11"/>
      <c r="E24" s="11"/>
      <c r="F24" s="11"/>
      <c r="G24" s="11"/>
      <c r="H24" s="12"/>
      <c r="I24" s="13"/>
      <c r="J24" s="13"/>
      <c r="K24" s="12"/>
      <c r="L24" s="13"/>
      <c r="M24" s="13"/>
      <c r="N24" s="12"/>
      <c r="O24" s="12"/>
      <c r="P24" s="13"/>
      <c r="Q24" s="14"/>
      <c r="R24" s="13"/>
      <c r="S24" s="15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</row>
    <row r="25" spans="1:41" s="10" customFormat="1" ht="35.1" customHeight="1" x14ac:dyDescent="0.2">
      <c r="A25" s="9"/>
      <c r="B25" s="39"/>
      <c r="C25" s="39"/>
      <c r="D25" s="39"/>
      <c r="E25" s="39"/>
      <c r="F25" s="39"/>
      <c r="G25" s="3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</row>
    <row r="26" spans="1:41" s="10" customFormat="1" ht="35.1" customHeight="1" x14ac:dyDescent="0.2">
      <c r="A26" s="9"/>
      <c r="B26" s="41"/>
      <c r="C26" s="41"/>
      <c r="D26" s="41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</row>
    <row r="27" spans="1:41" s="10" customFormat="1" ht="30" customHeight="1" x14ac:dyDescent="0.2">
      <c r="A27" s="9"/>
      <c r="E27" s="42"/>
      <c r="F27" s="42"/>
      <c r="G27" s="42"/>
      <c r="H27" s="43"/>
      <c r="I27" s="43"/>
      <c r="J27" s="43"/>
      <c r="K27" s="43"/>
      <c r="L27" s="43"/>
      <c r="M27" s="43"/>
      <c r="N27" s="43"/>
      <c r="O27" s="43"/>
      <c r="P27" s="44"/>
      <c r="Q27" s="44"/>
      <c r="R27" s="44"/>
      <c r="S27" s="44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</row>
    <row r="28" spans="1:41" s="10" customFormat="1" ht="30" customHeight="1" x14ac:dyDescent="0.2">
      <c r="A28" s="9"/>
      <c r="B28" s="45"/>
      <c r="C28" s="45"/>
      <c r="E28" s="46"/>
      <c r="F28" s="46"/>
      <c r="G28" s="46"/>
      <c r="H28" s="47"/>
      <c r="I28" s="36"/>
      <c r="J28" s="48"/>
      <c r="K28" s="47"/>
      <c r="L28" s="36"/>
      <c r="M28" s="48"/>
      <c r="N28" s="49"/>
      <c r="O28" s="49"/>
      <c r="P28" s="37"/>
      <c r="Q28" s="38"/>
      <c r="R28" s="50"/>
      <c r="S28" s="51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</row>
    <row r="29" spans="1:41" s="10" customFormat="1" ht="30" customHeight="1" x14ac:dyDescent="0.2">
      <c r="A29" s="9"/>
      <c r="B29" s="45"/>
      <c r="C29" s="45"/>
      <c r="E29" s="46"/>
      <c r="F29" s="46"/>
      <c r="G29" s="46"/>
      <c r="H29" s="47"/>
      <c r="I29" s="36"/>
      <c r="J29" s="48"/>
      <c r="K29" s="47"/>
      <c r="L29" s="36"/>
      <c r="M29" s="48"/>
      <c r="N29" s="49"/>
      <c r="O29" s="49"/>
      <c r="P29" s="37"/>
      <c r="Q29" s="38"/>
      <c r="R29" s="50"/>
      <c r="S29" s="51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</row>
    <row r="30" spans="1:41" s="10" customFormat="1" ht="30" customHeight="1" x14ac:dyDescent="0.2">
      <c r="A30" s="9"/>
      <c r="B30" s="45"/>
      <c r="C30" s="45"/>
      <c r="E30" s="46"/>
      <c r="F30" s="46"/>
      <c r="G30" s="46"/>
      <c r="H30" s="47"/>
      <c r="I30" s="36"/>
      <c r="J30" s="48"/>
      <c r="K30" s="47"/>
      <c r="L30" s="36"/>
      <c r="M30" s="48"/>
      <c r="N30" s="49"/>
      <c r="O30" s="49"/>
      <c r="P30" s="37"/>
      <c r="Q30" s="38"/>
      <c r="R30" s="50"/>
      <c r="S30" s="51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</row>
    <row r="31" spans="1:41" s="10" customFormat="1" ht="30" customHeight="1" x14ac:dyDescent="0.2">
      <c r="A31" s="9"/>
      <c r="B31" s="45"/>
      <c r="C31" s="45"/>
      <c r="E31" s="46"/>
      <c r="F31" s="46"/>
      <c r="G31" s="46"/>
      <c r="H31" s="47"/>
      <c r="I31" s="36"/>
      <c r="J31" s="48"/>
      <c r="K31" s="47"/>
      <c r="L31" s="36"/>
      <c r="M31" s="48"/>
      <c r="N31" s="49"/>
      <c r="O31" s="49"/>
      <c r="P31" s="37"/>
      <c r="Q31" s="38"/>
      <c r="R31" s="50"/>
      <c r="S31" s="51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</row>
    <row r="32" spans="1:41" s="10" customFormat="1" ht="30" customHeight="1" x14ac:dyDescent="0.2">
      <c r="A32" s="9"/>
      <c r="B32" s="45"/>
      <c r="C32" s="45"/>
      <c r="E32" s="46"/>
      <c r="F32" s="46"/>
      <c r="G32" s="46"/>
      <c r="H32" s="47"/>
      <c r="I32" s="36"/>
      <c r="J32" s="48"/>
      <c r="K32" s="47"/>
      <c r="L32" s="36"/>
      <c r="M32" s="48"/>
      <c r="N32" s="49"/>
      <c r="O32" s="49"/>
      <c r="P32" s="37"/>
      <c r="Q32" s="38"/>
      <c r="R32" s="50"/>
      <c r="S32" s="51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</row>
    <row r="33" spans="1:41" s="10" customFormat="1" ht="30" customHeight="1" x14ac:dyDescent="0.2">
      <c r="A33" s="9"/>
      <c r="B33" s="45"/>
      <c r="C33" s="45"/>
      <c r="E33" s="46"/>
      <c r="F33" s="46"/>
      <c r="G33" s="46"/>
      <c r="H33" s="47"/>
      <c r="I33" s="36"/>
      <c r="J33" s="48"/>
      <c r="K33" s="47"/>
      <c r="L33" s="36"/>
      <c r="M33" s="48"/>
      <c r="N33" s="49"/>
      <c r="O33" s="49"/>
      <c r="P33" s="37"/>
      <c r="Q33" s="38"/>
      <c r="R33" s="50"/>
      <c r="S33" s="51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</row>
    <row r="34" spans="1:41" s="10" customFormat="1" ht="30" customHeight="1" x14ac:dyDescent="0.2">
      <c r="A34" s="9"/>
      <c r="B34" s="45"/>
      <c r="C34" s="45"/>
      <c r="E34" s="46"/>
      <c r="F34" s="46"/>
      <c r="G34" s="46"/>
      <c r="H34" s="47"/>
      <c r="I34" s="36"/>
      <c r="J34" s="48"/>
      <c r="K34" s="47"/>
      <c r="L34" s="36"/>
      <c r="M34" s="48"/>
      <c r="N34" s="49"/>
      <c r="O34" s="49"/>
      <c r="P34" s="37"/>
      <c r="Q34" s="38"/>
      <c r="R34" s="50"/>
      <c r="S34" s="51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</row>
    <row r="35" spans="1:41" s="10" customFormat="1" ht="30" customHeight="1" x14ac:dyDescent="0.2">
      <c r="A35" s="9"/>
      <c r="B35" s="45"/>
      <c r="C35" s="45"/>
      <c r="E35" s="46"/>
      <c r="F35" s="46"/>
      <c r="G35" s="46"/>
      <c r="H35" s="47"/>
      <c r="I35" s="36"/>
      <c r="J35" s="48"/>
      <c r="K35" s="47"/>
      <c r="L35" s="36"/>
      <c r="M35" s="48"/>
      <c r="N35" s="49"/>
      <c r="O35" s="49"/>
      <c r="P35" s="37"/>
      <c r="Q35" s="38"/>
      <c r="R35" s="50"/>
      <c r="S35" s="51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</row>
    <row r="36" spans="1:41" s="10" customFormat="1" ht="30" customHeight="1" x14ac:dyDescent="0.2">
      <c r="A36" s="9"/>
      <c r="B36" s="45"/>
      <c r="C36" s="45"/>
      <c r="E36" s="46"/>
      <c r="F36" s="46"/>
      <c r="G36" s="46"/>
      <c r="H36" s="47"/>
      <c r="I36" s="36"/>
      <c r="J36" s="48"/>
      <c r="K36" s="47"/>
      <c r="L36" s="36"/>
      <c r="M36" s="48"/>
      <c r="N36" s="49"/>
      <c r="O36" s="49"/>
      <c r="P36" s="37"/>
      <c r="Q36" s="38"/>
      <c r="R36" s="50"/>
      <c r="S36" s="51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</row>
    <row r="37" spans="1:41" s="10" customFormat="1" ht="30" customHeight="1" x14ac:dyDescent="0.2">
      <c r="A37" s="9"/>
      <c r="B37" s="41"/>
      <c r="C37" s="41"/>
      <c r="D37" s="52"/>
      <c r="E37" s="53"/>
      <c r="F37" s="53"/>
      <c r="G37" s="53"/>
      <c r="H37" s="54"/>
      <c r="I37" s="55"/>
      <c r="J37" s="56"/>
      <c r="K37" s="56"/>
      <c r="L37" s="56"/>
      <c r="M37" s="56"/>
      <c r="N37" s="56"/>
      <c r="O37" s="56"/>
      <c r="P37" s="57"/>
      <c r="Q37" s="58"/>
      <c r="R37" s="59"/>
      <c r="S37" s="5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</row>
    <row r="38" spans="1:41" s="4" customFormat="1" ht="21" customHeight="1" x14ac:dyDescent="0.15">
      <c r="B38" s="6"/>
      <c r="C38" s="6"/>
      <c r="D38" s="6"/>
      <c r="E38" s="6"/>
      <c r="F38" s="6"/>
      <c r="G38" s="6"/>
      <c r="H38" s="1"/>
      <c r="I38" s="2"/>
      <c r="J38" s="2"/>
      <c r="K38" s="1"/>
      <c r="L38" s="2"/>
      <c r="M38" s="2"/>
      <c r="N38" s="1"/>
      <c r="O38" s="1"/>
      <c r="P38" s="2"/>
      <c r="Q38" s="7"/>
      <c r="R38" s="2"/>
      <c r="S38" s="3"/>
    </row>
    <row r="39" spans="1:4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</row>
    <row r="40" spans="1:4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</row>
    <row r="41" spans="1:4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</row>
    <row r="42" spans="1:4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</row>
    <row r="43" spans="1:4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</row>
    <row r="44" spans="1:4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</row>
    <row r="45" spans="1:4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</row>
    <row r="46" spans="1:4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</row>
    <row r="47" spans="1:4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</row>
    <row r="48" spans="1:4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</row>
    <row r="49" spans="1:4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</row>
    <row r="50" spans="1:41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</row>
    <row r="51" spans="1:41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</row>
    <row r="52" spans="1:41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</row>
    <row r="53" spans="1:41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</row>
    <row r="54" spans="1:41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</row>
    <row r="55" spans="1:41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</row>
    <row r="56" spans="1:41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</row>
    <row r="57" spans="1:41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</row>
    <row r="58" spans="1:41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</row>
    <row r="59" spans="1:41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</row>
    <row r="60" spans="1:41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</row>
    <row r="61" spans="1:41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</row>
    <row r="62" spans="1:41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</row>
    <row r="63" spans="1:41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</row>
    <row r="64" spans="1:41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</row>
    <row r="65" spans="1:41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</row>
    <row r="66" spans="1:41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</row>
    <row r="67" spans="1:41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</row>
    <row r="68" spans="1:41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</row>
    <row r="69" spans="1:41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</row>
    <row r="70" spans="1:41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</row>
    <row r="71" spans="1:41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</row>
    <row r="72" spans="1:41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</row>
    <row r="73" spans="1:41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</row>
    <row r="74" spans="1:41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</row>
    <row r="75" spans="1:41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</row>
    <row r="76" spans="1:41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</row>
    <row r="77" spans="1:41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</row>
    <row r="78" spans="1:41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</row>
    <row r="79" spans="1:41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</row>
    <row r="80" spans="1:41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</row>
    <row r="81" spans="1:41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</row>
    <row r="82" spans="1:41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</row>
    <row r="83" spans="1:41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</row>
    <row r="84" spans="1:41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 spans="1:41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 spans="1:41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 spans="1:41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 spans="1:41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 spans="1:41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 spans="1:41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 spans="1:41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 spans="1:41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 spans="1:41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 spans="1:41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 spans="1:41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</row>
    <row r="96" spans="1:41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 spans="1:21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 spans="1:21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 spans="1:21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 spans="1:21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 spans="1:21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 spans="1:21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 spans="1:21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 spans="1:21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 spans="1:21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 spans="1:21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 spans="1:21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 spans="1:21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 spans="1:21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 spans="1:21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 spans="1:21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 spans="1:21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 spans="1:21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 spans="1:21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 spans="1:21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 spans="1:21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 spans="1:21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 spans="1:21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 spans="1:21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 spans="1:21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 spans="1:21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 spans="1:21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 spans="1:21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 spans="1:21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 spans="1:21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 spans="1:21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 spans="1:21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 spans="1:21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 spans="1:21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 spans="1:21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 spans="1:21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 spans="1:21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 spans="1:21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 spans="1:21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 spans="1:21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 spans="1:21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 spans="1:21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 spans="1:21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 spans="1:21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 spans="1:21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 spans="1:21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 spans="1:21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 spans="1:21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 spans="1:21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 spans="1:21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 spans="1:21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 spans="1:21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 spans="1:21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 spans="1:21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 spans="1:21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 spans="1:21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 spans="1:21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 spans="1:21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 spans="1:21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 spans="1:21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 spans="1:21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 spans="1:21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 spans="1:21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 spans="1:21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 spans="1:21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 spans="1:21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 spans="1:21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 spans="1:21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 spans="1:21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 spans="1:21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 spans="1:21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 spans="1:21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 spans="1:21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 spans="1:21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 spans="1:21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 spans="1:21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 spans="1:21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 spans="1:21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 spans="1:21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 spans="1:21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 spans="1:21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 spans="1:21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 spans="1:21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 spans="1:21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 spans="1:21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 spans="1:21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 spans="1:21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 spans="1:21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 spans="1:21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</row>
    <row r="185" spans="1:21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 spans="1:21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</row>
    <row r="187" spans="1:21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</row>
    <row r="188" spans="1:21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</row>
    <row r="189" spans="1:21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 spans="1:21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</row>
    <row r="191" spans="1:21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</row>
    <row r="192" spans="1:21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</row>
    <row r="193" spans="1:21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</row>
    <row r="194" spans="1:21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</row>
    <row r="195" spans="1:21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</row>
    <row r="196" spans="1:21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</row>
    <row r="197" spans="1:21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</row>
    <row r="198" spans="1:21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</row>
    <row r="199" spans="1:21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</row>
    <row r="200" spans="1:21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</row>
    <row r="201" spans="1:21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</row>
    <row r="202" spans="1:21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</row>
    <row r="203" spans="1:21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</row>
    <row r="204" spans="1:21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</row>
    <row r="205" spans="1:21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</row>
    <row r="206" spans="1:21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</row>
    <row r="207" spans="1:21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</row>
    <row r="208" spans="1:21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</row>
    <row r="209" spans="1:21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</row>
    <row r="210" spans="1:21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</row>
    <row r="211" spans="1:21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</row>
    <row r="212" spans="1:21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</row>
    <row r="213" spans="1:21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</row>
    <row r="214" spans="1:21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</row>
    <row r="215" spans="1:21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</row>
    <row r="216" spans="1:21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</row>
    <row r="217" spans="1:21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</row>
    <row r="218" spans="1:21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</row>
    <row r="219" spans="1:21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</row>
    <row r="220" spans="1:21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</row>
    <row r="221" spans="1:21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</row>
    <row r="222" spans="1:21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</row>
    <row r="223" spans="1:21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</row>
    <row r="224" spans="1:21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</row>
    <row r="225" spans="1:21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</row>
    <row r="226" spans="1:21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</row>
    <row r="227" spans="1:21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</row>
    <row r="228" spans="1:21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</row>
    <row r="229" spans="1:21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</row>
    <row r="230" spans="1:21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</row>
    <row r="231" spans="1:21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</row>
    <row r="232" spans="1:21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</row>
    <row r="233" spans="1:21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</row>
    <row r="234" spans="1:21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</row>
    <row r="235" spans="1:21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</row>
    <row r="236" spans="1:21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</row>
    <row r="237" spans="1:21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</row>
    <row r="238" spans="1:21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</row>
    <row r="239" spans="1:21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</row>
    <row r="240" spans="1:21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</row>
    <row r="241" spans="1:21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</row>
    <row r="242" spans="1:21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</row>
    <row r="243" spans="1:21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</row>
    <row r="244" spans="1:21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</row>
    <row r="245" spans="1:21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</row>
    <row r="246" spans="1:21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</row>
    <row r="247" spans="1:21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</row>
    <row r="248" spans="1:21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</row>
    <row r="249" spans="1:21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</row>
    <row r="250" spans="1:21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</row>
    <row r="251" spans="1:21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</row>
    <row r="252" spans="1:21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</row>
    <row r="253" spans="1:21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</row>
    <row r="254" spans="1:21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</row>
    <row r="255" spans="1:21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</row>
    <row r="256" spans="1:21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</row>
    <row r="257" spans="1:21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</row>
    <row r="258" spans="1:21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</row>
    <row r="259" spans="1:21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</row>
    <row r="260" spans="1:21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</row>
    <row r="261" spans="1:21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</row>
    <row r="262" spans="1:21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</row>
    <row r="263" spans="1:21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</row>
    <row r="264" spans="1:21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</row>
    <row r="265" spans="1:21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</row>
    <row r="266" spans="1:21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</row>
    <row r="267" spans="1:21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</row>
    <row r="268" spans="1:21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</row>
    <row r="269" spans="1:21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</row>
    <row r="270" spans="1:21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</row>
    <row r="271" spans="1:21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</row>
    <row r="272" spans="1:21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</row>
    <row r="273" spans="1:21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</row>
    <row r="274" spans="1:21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</row>
    <row r="275" spans="1:21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</row>
    <row r="276" spans="1:21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</row>
    <row r="277" spans="1:21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</row>
    <row r="278" spans="1:21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</row>
    <row r="279" spans="1:21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</row>
    <row r="280" spans="1:21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</row>
    <row r="281" spans="1:21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</row>
    <row r="282" spans="1:21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</row>
    <row r="283" spans="1:21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</row>
    <row r="284" spans="1:21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</row>
    <row r="285" spans="1:21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</row>
    <row r="286" spans="1:21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</row>
    <row r="287" spans="1:21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</row>
    <row r="288" spans="1:21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</row>
    <row r="289" spans="1:21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</row>
    <row r="290" spans="1:21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</row>
    <row r="291" spans="1:21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</row>
    <row r="292" spans="1:21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</row>
    <row r="293" spans="1:21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</row>
    <row r="294" spans="1:21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</row>
    <row r="295" spans="1:21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</row>
    <row r="296" spans="1:21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</row>
    <row r="297" spans="1:21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</row>
    <row r="298" spans="1:21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</row>
    <row r="299" spans="1:21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</row>
    <row r="300" spans="1:21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</row>
    <row r="301" spans="1:21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</row>
    <row r="302" spans="1:21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</row>
    <row r="303" spans="1:21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</row>
    <row r="304" spans="1:21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</row>
    <row r="305" spans="1:21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</row>
    <row r="306" spans="1:21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</row>
    <row r="307" spans="1:21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</row>
    <row r="308" spans="1:21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</row>
    <row r="309" spans="1:21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</row>
    <row r="310" spans="1:21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</row>
    <row r="311" spans="1:21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</row>
    <row r="312" spans="1:21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</row>
    <row r="313" spans="1:21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</row>
    <row r="314" spans="1:21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</row>
    <row r="315" spans="1:21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</row>
    <row r="316" spans="1:21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</row>
    <row r="317" spans="1:21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</row>
    <row r="318" spans="1:21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</row>
    <row r="319" spans="1:21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</row>
    <row r="320" spans="1:21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</row>
    <row r="321" spans="1:21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</row>
    <row r="322" spans="1:21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</row>
    <row r="323" spans="1:21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</row>
    <row r="324" spans="1:21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</row>
    <row r="325" spans="1:21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</row>
    <row r="326" spans="1:21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</row>
    <row r="327" spans="1:21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</row>
    <row r="328" spans="1:21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</row>
    <row r="329" spans="1:21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</row>
    <row r="330" spans="1:21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</row>
    <row r="331" spans="1:21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</row>
    <row r="332" spans="1:21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</row>
    <row r="333" spans="1:21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</row>
    <row r="334" spans="1:21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</row>
    <row r="335" spans="1:21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</row>
    <row r="336" spans="1:21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</row>
    <row r="337" spans="1:21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</row>
    <row r="338" spans="1:21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</row>
    <row r="339" spans="1:21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</row>
    <row r="340" spans="1:21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</row>
    <row r="341" spans="1:21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</row>
    <row r="342" spans="1:21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</row>
    <row r="343" spans="1:21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</row>
    <row r="344" spans="1:21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</row>
    <row r="345" spans="1:21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</row>
    <row r="346" spans="1:21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</row>
    <row r="347" spans="1:21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</row>
    <row r="348" spans="1:21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</row>
    <row r="349" spans="1:21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</row>
    <row r="350" spans="1:21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</row>
    <row r="351" spans="1:21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</row>
    <row r="352" spans="1:21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</row>
    <row r="353" spans="1:21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</row>
    <row r="354" spans="1:21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</row>
    <row r="355" spans="1:21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</row>
    <row r="356" spans="1:21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</row>
    <row r="357" spans="1:21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</row>
    <row r="358" spans="1:21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</row>
    <row r="359" spans="1:21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</row>
    <row r="360" spans="1:21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</row>
    <row r="361" spans="1:21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</row>
    <row r="362" spans="1:21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</row>
    <row r="363" spans="1:21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</row>
    <row r="364" spans="1:21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</row>
    <row r="365" spans="1:21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</row>
    <row r="366" spans="1:21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</row>
    <row r="367" spans="1:21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</row>
    <row r="368" spans="1:21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</row>
    <row r="369" spans="1:21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</row>
    <row r="370" spans="1:21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</row>
    <row r="371" spans="1:21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</row>
    <row r="372" spans="1:21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</row>
    <row r="373" spans="1:21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</row>
    <row r="374" spans="1:21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</row>
    <row r="375" spans="1:21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</row>
    <row r="376" spans="1:21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</row>
    <row r="377" spans="1:21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</row>
    <row r="378" spans="1:21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</row>
    <row r="379" spans="1:21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</row>
    <row r="380" spans="1:21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</row>
    <row r="381" spans="1:21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</row>
    <row r="382" spans="1:21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</row>
    <row r="383" spans="1:21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</row>
    <row r="384" spans="1:21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</row>
    <row r="385" spans="1:21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</row>
    <row r="386" spans="1:21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</row>
    <row r="387" spans="1:21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</row>
    <row r="388" spans="1:21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</row>
    <row r="389" spans="1:21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</row>
    <row r="390" spans="1:21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</row>
    <row r="391" spans="1:21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</row>
    <row r="392" spans="1:21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</row>
    <row r="393" spans="1:21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</row>
    <row r="394" spans="1:21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</row>
    <row r="395" spans="1:21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</row>
    <row r="396" spans="1:21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</row>
    <row r="397" spans="1:21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</row>
    <row r="398" spans="1:21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</row>
    <row r="399" spans="1:21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</row>
    <row r="400" spans="1:21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</row>
    <row r="401" spans="1:21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</row>
    <row r="402" spans="1:21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</row>
    <row r="403" spans="1:21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</row>
    <row r="404" spans="1:21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</row>
    <row r="405" spans="1:21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</row>
    <row r="406" spans="1:21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</row>
    <row r="407" spans="1:21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</row>
    <row r="408" spans="1:21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</row>
    <row r="409" spans="1:21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</row>
    <row r="410" spans="1:21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</row>
    <row r="411" spans="1:21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</row>
    <row r="412" spans="1:21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</row>
    <row r="413" spans="1:21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</row>
    <row r="414" spans="1:21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</row>
    <row r="415" spans="1:21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</row>
    <row r="416" spans="1:21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</row>
    <row r="417" spans="1:21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</row>
    <row r="418" spans="1:21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</row>
    <row r="419" spans="1:21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</row>
    <row r="420" spans="1:21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</row>
    <row r="421" spans="1:21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</row>
    <row r="422" spans="1:21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</row>
    <row r="423" spans="1:21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</row>
    <row r="424" spans="1:21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</row>
    <row r="425" spans="1:21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</row>
    <row r="426" spans="1:21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</row>
  </sheetData>
  <mergeCells count="8">
    <mergeCell ref="H2:J2"/>
    <mergeCell ref="K2:M2"/>
    <mergeCell ref="N2:P2"/>
    <mergeCell ref="Q2:S2"/>
    <mergeCell ref="H25:J25"/>
    <mergeCell ref="K25:M25"/>
    <mergeCell ref="N25:P25"/>
    <mergeCell ref="Q25:S25"/>
  </mergeCells>
  <conditionalFormatting sqref="D4:D22">
    <cfRule type="containsText" dxfId="41" priority="30" operator="containsText" text="In Progress">
      <formula>NOT(ISERROR(SEARCH("In Progress",D4)))</formula>
    </cfRule>
    <cfRule type="containsText" dxfId="40" priority="29" operator="containsText" text="Complete">
      <formula>NOT(ISERROR(SEARCH("Complete",D4)))</formula>
    </cfRule>
    <cfRule type="containsText" dxfId="39" priority="28" operator="containsText" text="Overdue">
      <formula>NOT(ISERROR(SEARCH("Overdue",D4)))</formula>
    </cfRule>
    <cfRule type="containsText" dxfId="38" priority="27" operator="containsText" text="On Hold">
      <formula>NOT(ISERROR(SEARCH("On Hold",D4)))</formula>
    </cfRule>
    <cfRule type="containsText" dxfId="37" priority="26" operator="containsText" text="Not Started">
      <formula>NOT(ISERROR(SEARCH("Not Started",D4)))</formula>
    </cfRule>
    <cfRule type="containsText" dxfId="36" priority="25" operator="containsText" text="Needs Review">
      <formula>NOT(ISERROR(SEARCH("Needs Review",D4)))</formula>
    </cfRule>
    <cfRule type="containsText" dxfId="35" priority="24" operator="containsText" text="Approved">
      <formula>NOT(ISERROR(SEARCH("Approved",D4)))</formula>
    </cfRule>
  </conditionalFormatting>
  <conditionalFormatting sqref="D5:D22">
    <cfRule type="cellIs" dxfId="34" priority="23" operator="equal">
      <formula>"Completo"</formula>
    </cfRule>
    <cfRule type="cellIs" dxfId="33" priority="16" operator="equal">
      <formula>"No Iniciado"</formula>
    </cfRule>
    <cfRule type="cellIs" dxfId="32" priority="17" operator="equal">
      <formula>"Aprobado"</formula>
    </cfRule>
    <cfRule type="cellIs" dxfId="31" priority="18" operator="equal">
      <formula>"En Espera"</formula>
    </cfRule>
    <cfRule type="cellIs" dxfId="30" priority="19" operator="equal">
      <formula>"Atrasado"</formula>
    </cfRule>
    <cfRule type="cellIs" dxfId="29" priority="20" operator="equal">
      <formula>"Aprovado"</formula>
    </cfRule>
    <cfRule type="cellIs" dxfId="28" priority="21" operator="equal">
      <formula>"Requiere Revisión"</formula>
    </cfRule>
    <cfRule type="cellIs" dxfId="27" priority="22" operator="equal">
      <formula>"En Progreso"</formula>
    </cfRule>
  </conditionalFormatting>
  <conditionalFormatting sqref="D27:D36">
    <cfRule type="containsText" dxfId="26" priority="9" operator="containsText" text="Approved">
      <formula>NOT(ISERROR(SEARCH("Approved",D27)))</formula>
    </cfRule>
    <cfRule type="containsText" dxfId="25" priority="10" operator="containsText" text="Needs Review">
      <formula>NOT(ISERROR(SEARCH("Needs Review",D27)))</formula>
    </cfRule>
    <cfRule type="containsText" dxfId="24" priority="11" operator="containsText" text="Not Started">
      <formula>NOT(ISERROR(SEARCH("Not Started",D27)))</formula>
    </cfRule>
    <cfRule type="containsText" dxfId="23" priority="12" operator="containsText" text="On Hold">
      <formula>NOT(ISERROR(SEARCH("On Hold",D27)))</formula>
    </cfRule>
    <cfRule type="containsText" dxfId="22" priority="13" operator="containsText" text="Overdue">
      <formula>NOT(ISERROR(SEARCH("Overdue",D27)))</formula>
    </cfRule>
    <cfRule type="containsText" dxfId="21" priority="14" operator="containsText" text="Complete">
      <formula>NOT(ISERROR(SEARCH("Complete",D27)))</formula>
    </cfRule>
    <cfRule type="containsText" dxfId="20" priority="15" operator="containsText" text="In Progress">
      <formula>NOT(ISERROR(SEARCH("In Progress",D27)))</formula>
    </cfRule>
  </conditionalFormatting>
  <conditionalFormatting sqref="D28:D36">
    <cfRule type="cellIs" dxfId="19" priority="1" operator="equal">
      <formula>"No Iniciado"</formula>
    </cfRule>
    <cfRule type="cellIs" dxfId="18" priority="8" operator="equal">
      <formula>"Completo"</formula>
    </cfRule>
    <cfRule type="cellIs" dxfId="17" priority="7" operator="equal">
      <formula>"En Progreso"</formula>
    </cfRule>
    <cfRule type="cellIs" dxfId="16" priority="6" operator="equal">
      <formula>"Requiere Revisión"</formula>
    </cfRule>
    <cfRule type="cellIs" dxfId="15" priority="5" operator="equal">
      <formula>"Aprovado"</formula>
    </cfRule>
    <cfRule type="cellIs" dxfId="14" priority="4" operator="equal">
      <formula>"Atrasado"</formula>
    </cfRule>
    <cfRule type="cellIs" dxfId="13" priority="3" operator="equal">
      <formula>"En Espera"</formula>
    </cfRule>
    <cfRule type="cellIs" dxfId="12" priority="2" operator="equal">
      <formula>"Aprobado"</formula>
    </cfRule>
  </conditionalFormatting>
  <conditionalFormatting sqref="S5:S23 S28:S37">
    <cfRule type="cellIs" dxfId="11" priority="44" operator="lessThan">
      <formula>0</formula>
    </cfRule>
    <cfRule type="cellIs" dxfId="10" priority="45" operator="greaterThan">
      <formula>0</formula>
    </cfRule>
  </conditionalFormatting>
  <conditionalFormatting sqref="S24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8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3" right="0.3" top="0.3" bottom="0.3" header="0" footer="0"/>
  <pageSetup scale="63" fitToHeight="0" orientation="landscape" horizontalDpi="4294967292" verticalDpi="4294967292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2314EDA-12D6-2749-B3F6-EF76459AD42E}">
          <x14:formula1>
            <xm:f>'listas desplegables'!$F$3:$F$11</xm:f>
          </x14:formula1>
          <xm:sqref>D4:D22 D27:D36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FF1A8-FE55-D44A-A80C-197932E0CA85}">
  <sheetPr>
    <tabColor theme="0" tint="-0.249977111117893"/>
  </sheetPr>
  <dimension ref="A1:AF61"/>
  <sheetViews>
    <sheetView showGridLines="0" workbookViewId="0">
      <selection activeCell="I3" sqref="I3"/>
    </sheetView>
  </sheetViews>
  <sheetFormatPr defaultColWidth="10.8515625" defaultRowHeight="15" x14ac:dyDescent="0.2"/>
  <cols>
    <col min="1" max="1" width="3.44921875" style="10" customWidth="1"/>
    <col min="2" max="2" width="10.8515625" style="10"/>
    <col min="3" max="3" width="3.44921875" style="10" customWidth="1"/>
    <col min="5" max="5" width="3.44921875" style="10" customWidth="1"/>
    <col min="6" max="6" width="12.9453125" customWidth="1"/>
    <col min="7" max="7" width="3.44921875" style="10" customWidth="1"/>
  </cols>
  <sheetData>
    <row r="1" spans="1:32" s="10" customFormat="1" ht="42" customHeight="1" thickBot="1" x14ac:dyDescent="0.25">
      <c r="B1" s="29" t="s">
        <v>38</v>
      </c>
      <c r="C1" s="8"/>
      <c r="D1" s="8"/>
      <c r="E1" s="8"/>
      <c r="F1" s="8"/>
      <c r="G1" s="8"/>
      <c r="H1" s="8"/>
      <c r="I1" s="8"/>
      <c r="J1" s="8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</row>
    <row r="2" spans="1:32" ht="24.95" customHeight="1" thickTop="1" x14ac:dyDescent="0.2">
      <c r="A2" s="9"/>
      <c r="B2" s="28" t="s">
        <v>26</v>
      </c>
      <c r="C2" s="9"/>
      <c r="D2" s="28" t="s">
        <v>39</v>
      </c>
      <c r="E2" s="9"/>
      <c r="F2" s="28" t="s">
        <v>10</v>
      </c>
      <c r="G2" s="9"/>
    </row>
    <row r="3" spans="1:32" ht="35.1" customHeight="1" x14ac:dyDescent="0.2">
      <c r="A3" s="9"/>
      <c r="B3" s="27" t="s">
        <v>27</v>
      </c>
      <c r="C3" s="9"/>
      <c r="D3" s="26" t="s">
        <v>28</v>
      </c>
      <c r="E3" s="9"/>
      <c r="F3" s="33" t="s">
        <v>31</v>
      </c>
      <c r="G3" s="9"/>
    </row>
    <row r="4" spans="1:32" ht="35.1" customHeight="1" x14ac:dyDescent="0.2">
      <c r="A4" s="9"/>
      <c r="B4" s="25" t="s">
        <v>2</v>
      </c>
      <c r="C4" s="9"/>
      <c r="D4" s="24" t="s">
        <v>29</v>
      </c>
      <c r="E4" s="9"/>
      <c r="F4" s="34" t="s">
        <v>32</v>
      </c>
      <c r="G4" s="9"/>
    </row>
    <row r="5" spans="1:32" ht="35.1" customHeight="1" x14ac:dyDescent="0.2">
      <c r="A5" s="9"/>
      <c r="C5" s="9"/>
      <c r="D5" s="23" t="s">
        <v>30</v>
      </c>
      <c r="E5" s="9"/>
      <c r="F5" s="35" t="s">
        <v>33</v>
      </c>
      <c r="G5" s="9"/>
    </row>
    <row r="6" spans="1:32" ht="35.1" customHeight="1" x14ac:dyDescent="0.2">
      <c r="A6" s="9"/>
      <c r="C6" s="9"/>
      <c r="D6" s="19"/>
      <c r="E6" s="9"/>
      <c r="F6" s="22" t="s">
        <v>36</v>
      </c>
      <c r="G6" s="9"/>
    </row>
    <row r="7" spans="1:32" ht="35.1" customHeight="1" x14ac:dyDescent="0.2">
      <c r="A7" s="9"/>
      <c r="C7" s="9"/>
      <c r="D7" s="19"/>
      <c r="E7" s="9"/>
      <c r="F7" s="21" t="s">
        <v>34</v>
      </c>
      <c r="G7" s="9"/>
    </row>
    <row r="8" spans="1:32" ht="35.1" customHeight="1" x14ac:dyDescent="0.2">
      <c r="A8" s="9"/>
      <c r="C8" s="9"/>
      <c r="E8" s="9"/>
      <c r="F8" s="17" t="s">
        <v>35</v>
      </c>
      <c r="G8" s="9"/>
    </row>
    <row r="9" spans="1:32" ht="35.1" customHeight="1" x14ac:dyDescent="0.2">
      <c r="A9" s="9"/>
      <c r="B9" s="9"/>
      <c r="C9" s="9"/>
      <c r="E9" s="9"/>
      <c r="F9" s="20" t="s">
        <v>37</v>
      </c>
      <c r="G9" s="9"/>
    </row>
    <row r="10" spans="1:32" ht="35.1" customHeight="1" x14ac:dyDescent="0.2">
      <c r="A10" s="9"/>
      <c r="B10" s="9"/>
      <c r="C10" s="9"/>
      <c r="D10" s="19"/>
      <c r="E10" s="9"/>
      <c r="F10" s="16"/>
      <c r="G10" s="9"/>
    </row>
    <row r="11" spans="1:32" ht="35.1" customHeight="1" x14ac:dyDescent="0.2">
      <c r="A11" s="9"/>
      <c r="B11" s="9"/>
      <c r="C11" s="9"/>
      <c r="D11" s="19"/>
      <c r="E11" s="9"/>
      <c r="F11" s="16"/>
      <c r="G11" s="9"/>
    </row>
    <row r="12" spans="1:32" x14ac:dyDescent="0.2">
      <c r="A12" s="9"/>
      <c r="B12" s="9"/>
      <c r="C12" s="9"/>
      <c r="D12" s="19"/>
      <c r="E12" s="9"/>
      <c r="F12" s="19"/>
      <c r="G12" s="9"/>
    </row>
    <row r="13" spans="1:32" x14ac:dyDescent="0.2">
      <c r="A13" s="9"/>
      <c r="B13" s="9"/>
      <c r="C13" s="9"/>
      <c r="D13" s="19"/>
      <c r="E13" s="9"/>
      <c r="F13" s="19"/>
      <c r="G13" s="9"/>
    </row>
    <row r="14" spans="1:32" x14ac:dyDescent="0.2">
      <c r="A14" s="9"/>
      <c r="B14" s="9"/>
      <c r="C14" s="9"/>
      <c r="D14" s="19"/>
      <c r="E14" s="9"/>
      <c r="F14" s="19"/>
      <c r="G14" s="9"/>
    </row>
    <row r="15" spans="1:32" x14ac:dyDescent="0.2">
      <c r="A15" s="9"/>
      <c r="B15" s="9"/>
      <c r="C15" s="9"/>
      <c r="D15" s="19"/>
      <c r="E15" s="9"/>
      <c r="F15" s="19"/>
      <c r="G15" s="9"/>
    </row>
    <row r="16" spans="1:32" x14ac:dyDescent="0.2">
      <c r="A16" s="9"/>
      <c r="B16" s="9"/>
      <c r="C16" s="9"/>
      <c r="D16" s="19"/>
      <c r="E16" s="9"/>
      <c r="F16" s="19"/>
      <c r="G16" s="9"/>
    </row>
    <row r="17" spans="1:7" x14ac:dyDescent="0.2">
      <c r="A17" s="9"/>
      <c r="B17" s="9"/>
      <c r="C17" s="9"/>
      <c r="D17" s="19"/>
      <c r="E17" s="9"/>
      <c r="G17" s="9"/>
    </row>
    <row r="18" spans="1:7" x14ac:dyDescent="0.2">
      <c r="A18" s="9"/>
      <c r="B18" s="9"/>
      <c r="C18" s="9"/>
      <c r="D18" s="19"/>
      <c r="E18" s="9"/>
      <c r="G18" s="9"/>
    </row>
    <row r="19" spans="1:7" x14ac:dyDescent="0.2">
      <c r="A19" s="9"/>
      <c r="B19" s="9"/>
      <c r="C19" s="9"/>
      <c r="D19" s="19"/>
      <c r="E19" s="9"/>
      <c r="G19" s="9"/>
    </row>
    <row r="20" spans="1:7" x14ac:dyDescent="0.2">
      <c r="A20" s="9"/>
      <c r="B20" s="9"/>
      <c r="C20" s="9"/>
      <c r="D20" s="19"/>
      <c r="E20" s="9"/>
      <c r="G20" s="9"/>
    </row>
    <row r="21" spans="1:7" x14ac:dyDescent="0.2">
      <c r="A21" s="9"/>
      <c r="B21" s="9"/>
      <c r="C21" s="9"/>
      <c r="D21" s="19"/>
      <c r="E21" s="9"/>
      <c r="G21" s="9"/>
    </row>
    <row r="22" spans="1:7" x14ac:dyDescent="0.2">
      <c r="A22" s="9"/>
      <c r="B22" s="9"/>
      <c r="C22" s="9"/>
      <c r="D22" s="19"/>
      <c r="E22" s="9"/>
      <c r="G22" s="9"/>
    </row>
    <row r="23" spans="1:7" x14ac:dyDescent="0.2">
      <c r="A23" s="9"/>
      <c r="B23" s="9"/>
      <c r="C23" s="9"/>
      <c r="D23" s="19"/>
      <c r="E23" s="9"/>
      <c r="G23" s="9"/>
    </row>
    <row r="24" spans="1:7" x14ac:dyDescent="0.2">
      <c r="A24" s="9"/>
      <c r="B24" s="9"/>
      <c r="C24" s="9"/>
      <c r="D24" s="19"/>
      <c r="E24" s="9"/>
      <c r="G24" s="9"/>
    </row>
    <row r="25" spans="1:7" x14ac:dyDescent="0.2">
      <c r="A25" s="9"/>
      <c r="B25" s="9"/>
      <c r="C25" s="9"/>
      <c r="D25" s="19"/>
      <c r="E25" s="9"/>
      <c r="G25" s="9"/>
    </row>
    <row r="26" spans="1:7" x14ac:dyDescent="0.2">
      <c r="A26" s="9"/>
      <c r="B26" s="9"/>
      <c r="C26" s="9"/>
      <c r="D26" s="19"/>
      <c r="E26" s="9"/>
      <c r="G26" s="9"/>
    </row>
    <row r="27" spans="1:7" x14ac:dyDescent="0.2">
      <c r="A27" s="9"/>
      <c r="B27" s="9"/>
      <c r="C27" s="9"/>
      <c r="D27" s="19"/>
      <c r="E27" s="9"/>
      <c r="G27" s="9"/>
    </row>
    <row r="28" spans="1:7" x14ac:dyDescent="0.2">
      <c r="A28" s="9"/>
      <c r="B28" s="9"/>
      <c r="C28" s="9"/>
      <c r="D28" s="19"/>
      <c r="E28" s="9"/>
      <c r="G28" s="9"/>
    </row>
    <row r="29" spans="1:7" x14ac:dyDescent="0.2">
      <c r="A29" s="9"/>
      <c r="B29" s="9"/>
      <c r="C29" s="9"/>
      <c r="D29" s="19"/>
      <c r="E29" s="9"/>
      <c r="G29" s="9"/>
    </row>
    <row r="30" spans="1:7" x14ac:dyDescent="0.2">
      <c r="A30" s="9"/>
      <c r="B30" s="9"/>
      <c r="C30" s="9"/>
      <c r="D30" s="19"/>
      <c r="E30" s="9"/>
      <c r="G30" s="9"/>
    </row>
    <row r="31" spans="1:7" x14ac:dyDescent="0.2">
      <c r="A31" s="9"/>
      <c r="B31" s="9"/>
      <c r="C31" s="9"/>
      <c r="D31" s="19"/>
      <c r="E31" s="9"/>
      <c r="G31" s="9"/>
    </row>
    <row r="32" spans="1:7" x14ac:dyDescent="0.2">
      <c r="A32"/>
      <c r="B32"/>
      <c r="C32"/>
      <c r="D32" s="19"/>
      <c r="E32"/>
      <c r="G32"/>
    </row>
    <row r="33" spans="1:7" x14ac:dyDescent="0.2">
      <c r="A33" s="9"/>
      <c r="B33" s="9"/>
      <c r="C33" s="9"/>
      <c r="E33" s="9"/>
      <c r="G33" s="9"/>
    </row>
    <row r="34" spans="1:7" x14ac:dyDescent="0.2">
      <c r="A34" s="9"/>
      <c r="B34" s="9"/>
      <c r="C34" s="9"/>
      <c r="E34" s="9"/>
      <c r="G34" s="9"/>
    </row>
    <row r="35" spans="1:7" x14ac:dyDescent="0.2">
      <c r="A35" s="9"/>
      <c r="B35" s="9"/>
      <c r="C35" s="9"/>
      <c r="E35" s="9"/>
      <c r="G35" s="9"/>
    </row>
    <row r="36" spans="1:7" x14ac:dyDescent="0.2">
      <c r="A36" s="9"/>
      <c r="B36" s="9"/>
      <c r="C36" s="9"/>
      <c r="E36" s="9"/>
      <c r="G36" s="9"/>
    </row>
    <row r="37" spans="1:7" x14ac:dyDescent="0.2">
      <c r="A37" s="9"/>
      <c r="B37" s="9"/>
      <c r="C37" s="9"/>
      <c r="E37" s="9"/>
      <c r="G37" s="9"/>
    </row>
    <row r="38" spans="1:7" x14ac:dyDescent="0.2">
      <c r="A38" s="9"/>
      <c r="B38" s="9"/>
      <c r="C38" s="9"/>
      <c r="E38" s="9"/>
      <c r="G38" s="9"/>
    </row>
    <row r="39" spans="1:7" x14ac:dyDescent="0.2">
      <c r="A39" s="9"/>
      <c r="B39" s="9"/>
      <c r="C39" s="9"/>
      <c r="E39" s="9"/>
      <c r="G39" s="9"/>
    </row>
    <row r="40" spans="1:7" x14ac:dyDescent="0.2">
      <c r="A40" s="9"/>
      <c r="B40" s="9"/>
      <c r="C40" s="9"/>
      <c r="E40" s="9"/>
      <c r="G40" s="9"/>
    </row>
    <row r="41" spans="1:7" x14ac:dyDescent="0.2">
      <c r="A41" s="9"/>
      <c r="B41" s="9"/>
      <c r="C41" s="9"/>
      <c r="E41" s="9"/>
      <c r="G41" s="9"/>
    </row>
    <row r="42" spans="1:7" x14ac:dyDescent="0.2">
      <c r="A42" s="9"/>
      <c r="B42" s="9"/>
      <c r="C42" s="9"/>
      <c r="E42" s="9"/>
      <c r="G42" s="9"/>
    </row>
    <row r="43" spans="1:7" x14ac:dyDescent="0.2">
      <c r="A43" s="9"/>
      <c r="B43" s="9"/>
      <c r="C43" s="9"/>
      <c r="E43" s="9"/>
      <c r="G43" s="9"/>
    </row>
    <row r="44" spans="1:7" x14ac:dyDescent="0.2">
      <c r="A44" s="9"/>
      <c r="B44" s="9"/>
      <c r="C44" s="9"/>
      <c r="E44" s="9"/>
      <c r="G44" s="9"/>
    </row>
    <row r="45" spans="1:7" x14ac:dyDescent="0.2">
      <c r="A45" s="9"/>
      <c r="B45" s="9"/>
      <c r="C45" s="9"/>
      <c r="E45" s="9"/>
      <c r="G45" s="9"/>
    </row>
    <row r="46" spans="1:7" x14ac:dyDescent="0.2">
      <c r="A46" s="9"/>
      <c r="B46" s="9"/>
      <c r="C46" s="9"/>
      <c r="E46" s="9"/>
      <c r="G46" s="9"/>
    </row>
    <row r="47" spans="1:7" x14ac:dyDescent="0.2">
      <c r="A47" s="9"/>
      <c r="B47" s="9"/>
      <c r="C47" s="9"/>
      <c r="E47" s="9"/>
      <c r="G47" s="9"/>
    </row>
    <row r="48" spans="1:7" x14ac:dyDescent="0.2">
      <c r="A48" s="9"/>
      <c r="B48" s="9"/>
      <c r="C48" s="9"/>
      <c r="E48" s="9"/>
      <c r="G48" s="9"/>
    </row>
    <row r="49" spans="1:7" x14ac:dyDescent="0.2">
      <c r="A49" s="9"/>
      <c r="B49" s="9"/>
      <c r="C49" s="9"/>
      <c r="E49" s="9"/>
      <c r="G49" s="9"/>
    </row>
    <row r="50" spans="1:7" x14ac:dyDescent="0.2">
      <c r="A50" s="9"/>
      <c r="B50" s="9"/>
      <c r="C50" s="9"/>
      <c r="E50" s="9"/>
      <c r="G50" s="9"/>
    </row>
    <row r="51" spans="1:7" x14ac:dyDescent="0.2">
      <c r="A51" s="9"/>
      <c r="B51" s="9"/>
      <c r="C51" s="9"/>
      <c r="E51" s="9"/>
      <c r="G51" s="9"/>
    </row>
    <row r="52" spans="1:7" x14ac:dyDescent="0.2">
      <c r="A52" s="9"/>
      <c r="B52" s="9"/>
      <c r="C52" s="9"/>
      <c r="E52" s="9"/>
      <c r="G52" s="9"/>
    </row>
    <row r="53" spans="1:7" x14ac:dyDescent="0.2">
      <c r="A53" s="9"/>
      <c r="B53" s="9"/>
      <c r="C53" s="9"/>
      <c r="E53" s="9"/>
      <c r="G53" s="9"/>
    </row>
    <row r="54" spans="1:7" x14ac:dyDescent="0.2">
      <c r="A54" s="9"/>
      <c r="B54" s="9"/>
      <c r="C54" s="9"/>
      <c r="E54" s="9"/>
      <c r="G54" s="9"/>
    </row>
    <row r="55" spans="1:7" x14ac:dyDescent="0.2">
      <c r="A55" s="9"/>
      <c r="B55" s="9"/>
      <c r="C55" s="9"/>
      <c r="E55" s="9"/>
      <c r="G55" s="9"/>
    </row>
    <row r="56" spans="1:7" x14ac:dyDescent="0.2">
      <c r="A56" s="9"/>
      <c r="B56" s="9"/>
      <c r="C56" s="9"/>
      <c r="E56" s="9"/>
      <c r="G56" s="9"/>
    </row>
    <row r="57" spans="1:7" x14ac:dyDescent="0.2">
      <c r="A57" s="9"/>
      <c r="B57" s="9"/>
      <c r="C57" s="9"/>
      <c r="E57" s="9"/>
      <c r="G57" s="9"/>
    </row>
    <row r="58" spans="1:7" x14ac:dyDescent="0.2">
      <c r="A58" s="9"/>
      <c r="B58" s="9"/>
      <c r="C58" s="9"/>
      <c r="E58" s="9"/>
      <c r="G58" s="9"/>
    </row>
    <row r="59" spans="1:7" x14ac:dyDescent="0.2">
      <c r="A59" s="9"/>
      <c r="B59" s="9"/>
      <c r="C59" s="9"/>
      <c r="E59" s="9"/>
      <c r="G59" s="9"/>
    </row>
    <row r="60" spans="1:7" x14ac:dyDescent="0.2">
      <c r="A60" s="9"/>
      <c r="B60" s="9"/>
      <c r="C60" s="9"/>
      <c r="E60" s="9"/>
      <c r="G60" s="9"/>
    </row>
    <row r="61" spans="1:7" x14ac:dyDescent="0.2">
      <c r="A61" s="9"/>
      <c r="B61" s="9"/>
      <c r="C61" s="9"/>
      <c r="E61" s="9"/>
      <c r="G61" s="9"/>
    </row>
  </sheetData>
  <conditionalFormatting sqref="D3:D5">
    <cfRule type="containsText" dxfId="9" priority="9" operator="containsText" text="Low">
      <formula>NOT(ISERROR(SEARCH("Low",D3)))</formula>
    </cfRule>
    <cfRule type="containsText" dxfId="8" priority="10" operator="containsText" text="Medium">
      <formula>NOT(ISERROR(SEARCH("Medium",D3)))</formula>
    </cfRule>
    <cfRule type="containsText" dxfId="7" priority="11" operator="containsText" text="High">
      <formula>NOT(ISERROR(SEARCH("High",D3)))</formula>
    </cfRule>
  </conditionalFormatting>
  <conditionalFormatting sqref="F3:F11">
    <cfRule type="containsText" dxfId="6" priority="8" operator="containsText" text="Approved">
      <formula>NOT(ISERROR(SEARCH("Approved",F3)))</formula>
    </cfRule>
    <cfRule type="containsText" dxfId="5" priority="12" operator="containsText" text="Needs Review">
      <formula>NOT(ISERROR(SEARCH("Needs Review",F3)))</formula>
    </cfRule>
    <cfRule type="containsText" dxfId="4" priority="13" operator="containsText" text="Not Started">
      <formula>NOT(ISERROR(SEARCH("Not Started",F3)))</formula>
    </cfRule>
    <cfRule type="containsText" dxfId="3" priority="14" operator="containsText" text="On Hold">
      <formula>NOT(ISERROR(SEARCH("On Hold",F3)))</formula>
    </cfRule>
    <cfRule type="containsText" dxfId="2" priority="15" operator="containsText" text="Overdue">
      <formula>NOT(ISERROR(SEARCH("Overdue",F3)))</formula>
    </cfRule>
    <cfRule type="containsText" dxfId="1" priority="16" operator="containsText" text="Complete">
      <formula>NOT(ISERROR(SEARCH("Complete",F3)))</formula>
    </cfRule>
    <cfRule type="containsText" dxfId="0" priority="17" operator="containsText" text="In Progress">
      <formula>NOT(ISERROR(SEARCH("In Progress",F3)))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Presupuesto del proyecto</vt:lpstr>
      <vt:lpstr>listas desplegables</vt:lpstr>
      <vt:lpstr>Presupuesto del proyecto!Área_de_impresión</vt:lpstr>
      <vt:lpstr>Status</vt:lpstr>
      <vt:lpstr>YesNo</vt:lpstr>
    </vt:vector>
  </TitlesOfParts>
  <Company>Smartsheet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</dc:creator>
  <cp:lastModifiedBy>NICOLAS  MORENO ACOSTA</cp:lastModifiedBy>
  <cp:lastPrinted>2022-01-31T23:51:04Z</cp:lastPrinted>
  <dcterms:created xsi:type="dcterms:W3CDTF">2015-08-28T20:34:30Z</dcterms:created>
  <dcterms:modified xsi:type="dcterms:W3CDTF">2026-03-07T04:43:50Z</dcterms:modified>
</cp:coreProperties>
</file>