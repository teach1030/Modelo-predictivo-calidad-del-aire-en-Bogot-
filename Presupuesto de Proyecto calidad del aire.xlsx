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icol\Desktop\"/>
    </mc:Choice>
  </mc:AlternateContent>
  <xr:revisionPtr revIDLastSave="0" documentId="13_ncr:1_{3D001625-C74D-4BA5-9537-EFA3809D1CC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esupuesto del proyecto" sheetId="6" r:id="rId1"/>
    <sheet name="listas desplegables" sheetId="3" r:id="rId2"/>
  </sheets>
  <externalReferences>
    <externalReference r:id="rId3"/>
    <externalReference r:id="rId4"/>
  </externalReferences>
  <definedNames>
    <definedName name="_xlnm.Print_Area" localSheetId="0">'Presupuesto del proyecto'!$B$1:$S$58</definedName>
    <definedName name="Priority">#REF!</definedName>
    <definedName name="Status">'listas desplegables'!$D$5:$D$7</definedName>
    <definedName name="Type" localSheetId="1">'[1]Risk Assessment &amp; Control'!#REF!</definedName>
    <definedName name="Type">'[2]Maintenance Work Order'!#REF!</definedName>
    <definedName name="YesNo">'listas desplegables'!$B$5:$B$6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57" i="6" l="1"/>
  <c r="M57" i="6"/>
  <c r="N57" i="6"/>
  <c r="O57" i="6"/>
  <c r="P57" i="6"/>
  <c r="Q57" i="6"/>
  <c r="R57" i="6" l="1"/>
  <c r="S57" i="6" s="1"/>
</calcChain>
</file>

<file path=xl/sharedStrings.xml><?xml version="1.0" encoding="utf-8"?>
<sst xmlns="http://schemas.openxmlformats.org/spreadsheetml/2006/main" count="198" uniqueCount="146">
  <si>
    <t>SUBTOTAL</t>
  </si>
  <si>
    <t>No</t>
  </si>
  <si>
    <t>Presupuesto de Proyecto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</si>
  <si>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</si>
  <si>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</si>
  <si>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</si>
  <si>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</si>
  <si>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</si>
  <si>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</si>
  <si>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</si>
  <si>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</si>
  <si>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</si>
  <si>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</si>
  <si>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</si>
  <si>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</si>
  <si>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</si>
  <si>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</si>
  <si>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</si>
  <si>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</si>
  <si>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</si>
  <si>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</si>
  <si>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</si>
  <si>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</si>
  <si>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</si>
  <si>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</si>
  <si>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</si>
  <si>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SI / NO</t>
  </si>
  <si>
    <t>Si</t>
  </si>
  <si>
    <t>Baja</t>
  </si>
  <si>
    <t>Media</t>
  </si>
  <si>
    <t>Alta</t>
  </si>
  <si>
    <t>No Iniciado</t>
  </si>
  <si>
    <t>En Progreso</t>
  </si>
  <si>
    <t>Completo</t>
  </si>
  <si>
    <t>Aprobado</t>
  </si>
  <si>
    <t>Atrasado</t>
  </si>
  <si>
    <t>Requiere Revisión</t>
  </si>
  <si>
    <t>En Espera</t>
  </si>
  <si>
    <t>listas desplegables</t>
  </si>
  <si>
    <t>PRIORIDAD</t>
  </si>
  <si>
    <t>1.1.1</t>
  </si>
  <si>
    <t>Definir objetivos del proyecto</t>
  </si>
  <si>
    <t>1.1.2</t>
  </si>
  <si>
    <t>Identificar stakeholders</t>
  </si>
  <si>
    <t>1.1.3</t>
  </si>
  <si>
    <t>Formalizar aprobación inicial</t>
  </si>
  <si>
    <t>1.2.1</t>
  </si>
  <si>
    <t>Delimitar alcance del proyecto</t>
  </si>
  <si>
    <t>1.2.2</t>
  </si>
  <si>
    <t>Definir entregables principales</t>
  </si>
  <si>
    <t>1.2.3</t>
  </si>
  <si>
    <t>Establecer cronograma general</t>
  </si>
  <si>
    <t>2.1.1</t>
  </si>
  <si>
    <t>Definir recursos humanos</t>
  </si>
  <si>
    <t>2.1.2</t>
  </si>
  <si>
    <t>Estimar recursos tecnológicos</t>
  </si>
  <si>
    <t>2.1.3</t>
  </si>
  <si>
    <t>Calcular presupuesto total</t>
  </si>
  <si>
    <t>2.2.1</t>
  </si>
  <si>
    <t>Listar riesgos técnicos</t>
  </si>
  <si>
    <t>2.2.2</t>
  </si>
  <si>
    <t>Analizar probabilidad e impacto</t>
  </si>
  <si>
    <t>2.2.3</t>
  </si>
  <si>
    <t>Definir estrategias de mitigación</t>
  </si>
  <si>
    <t>2.3.1</t>
  </si>
  <si>
    <t>Definir canales de comunicación</t>
  </si>
  <si>
    <t>2.3.2</t>
  </si>
  <si>
    <t>Establecer frecuencia de reuniones</t>
  </si>
  <si>
    <t>2.3.3</t>
  </si>
  <si>
    <t>Asignar responsables</t>
  </si>
  <si>
    <t>3.1.1</t>
  </si>
  <si>
    <t>Buscar fuentes oficiales</t>
  </si>
  <si>
    <t>3.1.2</t>
  </si>
  <si>
    <t>Descargar datos históricos</t>
  </si>
  <si>
    <t>3.1.3</t>
  </si>
  <si>
    <t>Verificar integridad del dataset</t>
  </si>
  <si>
    <t>3.2.1</t>
  </si>
  <si>
    <t>Eliminar valores nulos</t>
  </si>
  <si>
    <t>3.2.2</t>
  </si>
  <si>
    <t>Corregir inconsistencias</t>
  </si>
  <si>
    <t>3.2.3</t>
  </si>
  <si>
    <t>Normalizar datos</t>
  </si>
  <si>
    <t>3.3.1</t>
  </si>
  <si>
    <t>Análisis estadístico</t>
  </si>
  <si>
    <t>3.3.2</t>
  </si>
  <si>
    <t>Identificación de patrones</t>
  </si>
  <si>
    <t>3.3.3</t>
  </si>
  <si>
    <t>Visualización de correlaciones</t>
  </si>
  <si>
    <t>3.4.1</t>
  </si>
  <si>
    <t>Selección de variables relevantes</t>
  </si>
  <si>
    <t>3.4.2</t>
  </si>
  <si>
    <t>División train/test</t>
  </si>
  <si>
    <t>3.4.3</t>
  </si>
  <si>
    <t>Transformación de variables</t>
  </si>
  <si>
    <t>4.1.1</t>
  </si>
  <si>
    <t>Definir número de capas</t>
  </si>
  <si>
    <t>4.1.2</t>
  </si>
  <si>
    <t>Definir neuronas por capa</t>
  </si>
  <si>
    <t>4.1.3</t>
  </si>
  <si>
    <t>Seleccionar funciones de activación</t>
  </si>
  <si>
    <t>4.2.1</t>
  </si>
  <si>
    <t>Configurar hiperparámetros</t>
  </si>
  <si>
    <t>4.2.2</t>
  </si>
  <si>
    <t>Entrenar con datos históricos</t>
  </si>
  <si>
    <t>4.2.3</t>
  </si>
  <si>
    <t>Ajustar iteraciones</t>
  </si>
  <si>
    <t>4.3.1</t>
  </si>
  <si>
    <t>Calcular métricas de desempeño</t>
  </si>
  <si>
    <t>4.3.2</t>
  </si>
  <si>
    <t>Ajustar parámetros</t>
  </si>
  <si>
    <t>4.3.3</t>
  </si>
  <si>
    <t>Validar modelo final</t>
  </si>
  <si>
    <t>5.1.1</t>
  </si>
  <si>
    <t>Diseño visual</t>
  </si>
  <si>
    <t>5.1.2</t>
  </si>
  <si>
    <t>Definición UX</t>
  </si>
  <si>
    <t>5.1.3</t>
  </si>
  <si>
    <t>Validación de prototipo</t>
  </si>
  <si>
    <t>5.2.1</t>
  </si>
  <si>
    <t>Implementación interfaz responsiva</t>
  </si>
  <si>
    <t>5.2.2</t>
  </si>
  <si>
    <t>Conexión con API</t>
  </si>
  <si>
    <t>5.2.3</t>
  </si>
  <si>
    <t>Pruebas visuales</t>
  </si>
  <si>
    <t>5.3.1</t>
  </si>
  <si>
    <t>Despliegue de la pagina</t>
  </si>
  <si>
    <t>5.3.2</t>
  </si>
  <si>
    <t>5.3.3</t>
  </si>
  <si>
    <t>Pruebas de funcionamiento</t>
  </si>
  <si>
    <t>6.1.1</t>
  </si>
  <si>
    <t>Documentación del modelo</t>
  </si>
  <si>
    <t>6.1.2</t>
  </si>
  <si>
    <t>Manual de usuario</t>
  </si>
  <si>
    <t>6.2.1</t>
  </si>
  <si>
    <t>Redacción de resultados</t>
  </si>
  <si>
    <t>6.2.2</t>
  </si>
  <si>
    <t>Lecciones aprendidas</t>
  </si>
  <si>
    <t>6.2.3</t>
  </si>
  <si>
    <t>Conclusiones</t>
  </si>
  <si>
    <t>6.3.1</t>
  </si>
  <si>
    <t>Acta de cierre</t>
  </si>
  <si>
    <t>6.3.2</t>
  </si>
  <si>
    <t>Aprobación final</t>
  </si>
  <si>
    <t>En progreso</t>
  </si>
  <si>
    <t>Integración del modelo predictivo</t>
  </si>
  <si>
    <t>Modelo predictivo calidad del 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</si>
</sst>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\(&quot;$&quot;#,##0\)"/>
    <numFmt numFmtId="165" formatCode="&quot;$&quot;#,##0.00_);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mm/dd/yy;@"/>
    <numFmt numFmtId="170" formatCode="_(&quot;$&quot;* #,##0_);_(&quot;$&quot;* \(#,##0\);_(&quot;$&quot;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Century Gothic"/>
      <family val="1"/>
    </font>
    <font>
      <sz val="10"/>
      <name val="Century Gothic"/>
      <family val="1"/>
    </font>
    <font>
      <sz val="10"/>
      <color theme="1"/>
      <name val="Century Gothic"/>
      <family val="1"/>
    </font>
    <font>
      <b/>
      <sz val="10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b/>
      <sz val="22"/>
      <color theme="1" tint="0.34998626667073579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2"/>
    </font>
    <font>
      <sz val="10"/>
      <name val="Century Gothic"/>
      <family val="2"/>
    </font>
    <font>
      <sz val="11"/>
      <color indexed="8"/>
      <name val="Century Gothic"/>
      <family val="1"/>
    </font>
    <font>
      <b/>
      <sz val="10"/>
      <color theme="1"/>
      <name val="Century Gothic"/>
      <family val="1"/>
    </font>
    <font>
      <sz val="22"/>
      <color theme="1" tint="0.34998626667073579"/>
      <name val="Century Gothic"/>
      <family val="1"/>
    </font>
    <font>
      <b/>
      <sz val="24"/>
      <color theme="1" tint="0.34998626667073579"/>
      <name val="Century Gothic"/>
      <family val="1"/>
    </font>
    <font>
      <sz val="12"/>
      <color theme="1" tint="0.34998626667073579"/>
      <name val="Century Gothic"/>
      <family val="1"/>
    </font>
  </fonts>
  <fills count="1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/>
      <bottom style="thin">
        <color theme="0" tint="-0.249977111117893"/>
      </bottom>
      <diagonal/>
    </border>
    <border>
      <left style="double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34998626667073579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ashed">
        <color theme="0" tint="-0.34998626667073579"/>
      </right>
      <top/>
      <bottom/>
      <diagonal/>
    </border>
    <border>
      <left style="thin">
        <color theme="0" tint="-0.249977111117893"/>
      </left>
      <right style="dashed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</borders>
  <cellStyleXfs count="8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</cellStyleXfs>
  <cellXfs count="83">
    <xf numFmtId="0" fontId="0" fillId="0" borderId="0" xfId="0"/>
    <xf numFmtId="168" fontId="4" fillId="3" borderId="0" xfId="0" applyNumberFormat="1" applyFont="1" applyFill="1" applyAlignment="1" applyProtection="1">
      <alignment wrapText="1"/>
      <protection locked="0"/>
    </xf>
    <xf numFmtId="165" fontId="4" fillId="3" borderId="0" xfId="1" applyNumberFormat="1" applyFont="1" applyFill="1" applyBorder="1" applyAlignment="1" applyProtection="1">
      <alignment wrapText="1"/>
      <protection locked="0"/>
    </xf>
    <xf numFmtId="167" fontId="6" fillId="3" borderId="0" xfId="0" applyNumberFormat="1" applyFont="1" applyFill="1" applyAlignment="1" applyProtection="1">
      <alignment horizontal="left" vertical="top" wrapText="1"/>
      <protection locked="0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167" fontId="4" fillId="3" borderId="0" xfId="1" applyNumberFormat="1" applyFont="1" applyFill="1" applyBorder="1" applyAlignment="1" applyProtection="1">
      <alignment wrapText="1"/>
    </xf>
    <xf numFmtId="0" fontId="7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168" fontId="4" fillId="3" borderId="0" xfId="0" applyNumberFormat="1" applyFont="1" applyFill="1" applyAlignment="1" applyProtection="1">
      <alignment horizontal="left" vertical="center" wrapText="1" indent="1"/>
      <protection locked="0"/>
    </xf>
    <xf numFmtId="165" fontId="4" fillId="3" borderId="0" xfId="1" applyNumberFormat="1" applyFont="1" applyFill="1" applyBorder="1" applyAlignment="1" applyProtection="1">
      <alignment horizontal="left" vertical="center" wrapText="1" indent="1"/>
      <protection locked="0"/>
    </xf>
    <xf numFmtId="167" fontId="4" fillId="3" borderId="0" xfId="1" applyNumberFormat="1" applyFont="1" applyFill="1" applyBorder="1" applyAlignment="1" applyProtection="1">
      <alignment horizontal="left" vertical="center" wrapText="1" indent="1"/>
    </xf>
    <xf numFmtId="167" fontId="6" fillId="3" borderId="0" xfId="0" applyNumberFormat="1" applyFont="1" applyFill="1" applyAlignment="1" applyProtection="1">
      <alignment horizontal="left" vertical="center" wrapText="1" indent="1"/>
      <protection locked="0"/>
    </xf>
    <xf numFmtId="0" fontId="5" fillId="3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 indent="1"/>
    </xf>
    <xf numFmtId="169" fontId="11" fillId="5" borderId="1" xfId="0" applyNumberFormat="1" applyFont="1" applyFill="1" applyBorder="1" applyAlignment="1">
      <alignment horizontal="left" vertical="center" wrapText="1" indent="1"/>
    </xf>
    <xf numFmtId="0" fontId="9" fillId="3" borderId="0" xfId="0" applyFont="1" applyFill="1" applyAlignment="1">
      <alignment vertical="center"/>
    </xf>
    <xf numFmtId="0" fontId="13" fillId="0" borderId="0" xfId="0" applyFont="1"/>
    <xf numFmtId="0" fontId="5" fillId="7" borderId="1" xfId="0" applyFont="1" applyFill="1" applyBorder="1" applyAlignment="1">
      <alignment horizontal="left" vertical="center" wrapText="1" indent="1"/>
    </xf>
    <xf numFmtId="0" fontId="5" fillId="10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left" vertical="center" wrapText="1" indent="1"/>
    </xf>
    <xf numFmtId="0" fontId="10" fillId="12" borderId="1" xfId="0" applyFont="1" applyFill="1" applyBorder="1" applyAlignment="1">
      <alignment horizontal="left" vertical="center" indent="1"/>
    </xf>
    <xf numFmtId="0" fontId="10" fillId="13" borderId="1" xfId="0" applyFont="1" applyFill="1" applyBorder="1" applyAlignment="1">
      <alignment horizontal="left" vertical="center" indent="1"/>
    </xf>
    <xf numFmtId="0" fontId="10" fillId="7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 indent="1"/>
    </xf>
    <xf numFmtId="0" fontId="10" fillId="15" borderId="1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" fillId="2" borderId="2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 applyProtection="1">
      <alignment horizontal="left" vertical="center" wrapText="1" indent="1"/>
      <protection locked="0"/>
    </xf>
    <xf numFmtId="0" fontId="3" fillId="5" borderId="1" xfId="0" applyFont="1" applyFill="1" applyBorder="1" applyAlignment="1">
      <alignment horizontal="left" vertical="center" wrapText="1" indent="1"/>
    </xf>
    <xf numFmtId="165" fontId="11" fillId="5" borderId="1" xfId="1" applyNumberFormat="1" applyFont="1" applyFill="1" applyBorder="1" applyAlignment="1" applyProtection="1">
      <alignment vertical="center"/>
      <protection locked="0"/>
    </xf>
    <xf numFmtId="0" fontId="17" fillId="3" borderId="0" xfId="0" applyFont="1" applyFill="1" applyAlignment="1">
      <alignment vertical="center"/>
    </xf>
    <xf numFmtId="164" fontId="11" fillId="5" borderId="1" xfId="0" applyNumberFormat="1" applyFont="1" applyFill="1" applyBorder="1" applyAlignment="1" applyProtection="1">
      <alignment vertical="center"/>
      <protection locked="0"/>
    </xf>
    <xf numFmtId="169" fontId="5" fillId="0" borderId="1" xfId="0" applyNumberFormat="1" applyFont="1" applyBorder="1" applyAlignment="1" applyProtection="1">
      <alignment horizontal="left" vertical="center" wrapText="1" indent="1"/>
      <protection locked="0"/>
    </xf>
    <xf numFmtId="168" fontId="4" fillId="0" borderId="1" xfId="0" applyNumberFormat="1" applyFont="1" applyBorder="1" applyAlignment="1" applyProtection="1">
      <alignment horizontal="center" vertical="center"/>
      <protection locked="0"/>
    </xf>
    <xf numFmtId="165" fontId="4" fillId="0" borderId="1" xfId="1" applyNumberFormat="1" applyFont="1" applyFill="1" applyBorder="1" applyAlignment="1" applyProtection="1">
      <alignment horizontal="right" vertical="center"/>
      <protection locked="0"/>
    </xf>
    <xf numFmtId="164" fontId="4" fillId="0" borderId="1" xfId="0" applyNumberFormat="1" applyFont="1" applyBorder="1" applyAlignment="1" applyProtection="1">
      <alignment horizontal="right" vertical="center"/>
      <protection locked="0"/>
    </xf>
    <xf numFmtId="0" fontId="11" fillId="2" borderId="10" xfId="0" applyFont="1" applyFill="1" applyBorder="1" applyAlignment="1">
      <alignment horizontal="center" vertical="center" wrapText="1"/>
    </xf>
    <xf numFmtId="164" fontId="11" fillId="5" borderId="10" xfId="1" applyNumberFormat="1" applyFont="1" applyFill="1" applyBorder="1" applyAlignment="1" applyProtection="1">
      <alignment vertical="center"/>
      <protection locked="0"/>
    </xf>
    <xf numFmtId="0" fontId="11" fillId="2" borderId="8" xfId="0" applyFont="1" applyFill="1" applyBorder="1" applyAlignment="1">
      <alignment horizontal="center" vertical="center" wrapText="1"/>
    </xf>
    <xf numFmtId="168" fontId="12" fillId="5" borderId="8" xfId="0" applyNumberFormat="1" applyFont="1" applyFill="1" applyBorder="1" applyAlignment="1" applyProtection="1">
      <alignment horizontal="left" vertical="center"/>
      <protection locked="0"/>
    </xf>
    <xf numFmtId="0" fontId="11" fillId="2" borderId="11" xfId="0" applyFont="1" applyFill="1" applyBorder="1" applyAlignment="1">
      <alignment horizontal="center" vertical="center" wrapText="1"/>
    </xf>
    <xf numFmtId="170" fontId="11" fillId="5" borderId="14" xfId="1" applyNumberFormat="1" applyFont="1" applyFill="1" applyBorder="1" applyAlignment="1" applyProtection="1">
      <alignment vertical="center"/>
      <protection locked="0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170" fontId="11" fillId="5" borderId="15" xfId="1" applyNumberFormat="1" applyFont="1" applyFill="1" applyBorder="1" applyAlignment="1" applyProtection="1">
      <alignment vertical="center"/>
    </xf>
    <xf numFmtId="0" fontId="17" fillId="3" borderId="16" xfId="0" applyFont="1" applyFill="1" applyBorder="1" applyAlignment="1">
      <alignment vertical="center"/>
    </xf>
    <xf numFmtId="0" fontId="11" fillId="2" borderId="17" xfId="0" applyFont="1" applyFill="1" applyBorder="1" applyAlignment="1">
      <alignment horizontal="center" vertical="center" wrapText="1"/>
    </xf>
    <xf numFmtId="169" fontId="11" fillId="5" borderId="18" xfId="0" applyNumberFormat="1" applyFont="1" applyFill="1" applyBorder="1" applyAlignment="1">
      <alignment horizontal="left" vertical="center" wrapText="1" indent="1"/>
    </xf>
    <xf numFmtId="169" fontId="5" fillId="4" borderId="1" xfId="0" applyNumberFormat="1" applyFont="1" applyFill="1" applyBorder="1" applyAlignment="1">
      <alignment horizontal="left" vertical="center" wrapText="1" indent="1"/>
    </xf>
    <xf numFmtId="169" fontId="5" fillId="4" borderId="18" xfId="0" applyNumberFormat="1" applyFont="1" applyFill="1" applyBorder="1" applyAlignment="1">
      <alignment horizontal="left" vertical="center" wrapText="1" indent="1"/>
    </xf>
    <xf numFmtId="0" fontId="5" fillId="4" borderId="8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169" fontId="5" fillId="0" borderId="18" xfId="0" applyNumberFormat="1" applyFont="1" applyBorder="1" applyAlignment="1" applyProtection="1">
      <alignment horizontal="left" vertical="center" wrapText="1" indent="1"/>
      <protection locked="0"/>
    </xf>
    <xf numFmtId="168" fontId="4" fillId="0" borderId="8" xfId="0" applyNumberFormat="1" applyFont="1" applyBorder="1" applyAlignment="1" applyProtection="1">
      <alignment horizontal="center" vertical="center"/>
      <protection locked="0"/>
    </xf>
    <xf numFmtId="164" fontId="4" fillId="4" borderId="1" xfId="1" applyNumberFormat="1" applyFont="1" applyFill="1" applyBorder="1" applyAlignment="1" applyProtection="1">
      <alignment horizontal="right" vertical="center"/>
      <protection locked="0"/>
    </xf>
    <xf numFmtId="164" fontId="4" fillId="0" borderId="10" xfId="1" applyNumberFormat="1" applyFont="1" applyFill="1" applyBorder="1" applyAlignment="1" applyProtection="1">
      <alignment vertical="center"/>
      <protection locked="0"/>
    </xf>
    <xf numFmtId="170" fontId="5" fillId="0" borderId="15" xfId="1" applyNumberFormat="1" applyFont="1" applyFill="1" applyBorder="1" applyAlignment="1" applyProtection="1">
      <alignment vertical="center"/>
    </xf>
    <xf numFmtId="170" fontId="4" fillId="6" borderId="14" xfId="1" applyNumberFormat="1" applyFont="1" applyFill="1" applyBorder="1" applyAlignment="1" applyProtection="1">
      <alignment horizontal="left" vertical="center"/>
      <protection locked="0"/>
    </xf>
    <xf numFmtId="170" fontId="5" fillId="7" borderId="14" xfId="1" applyNumberFormat="1" applyFont="1" applyFill="1" applyBorder="1" applyAlignment="1" applyProtection="1">
      <alignment horizontal="left" vertical="center"/>
    </xf>
    <xf numFmtId="0" fontId="5" fillId="16" borderId="1" xfId="0" applyFont="1" applyFill="1" applyBorder="1" applyAlignment="1">
      <alignment horizontal="left" vertical="center" wrapText="1" indent="1"/>
    </xf>
    <xf numFmtId="0" fontId="10" fillId="17" borderId="1" xfId="0" applyFont="1" applyFill="1" applyBorder="1" applyAlignment="1">
      <alignment horizontal="left" vertical="center" wrapText="1" indent="1" readingOrder="1"/>
    </xf>
    <xf numFmtId="0" fontId="10" fillId="18" borderId="1" xfId="0" applyFont="1" applyFill="1" applyBorder="1" applyAlignment="1">
      <alignment horizontal="left" vertical="center" wrapText="1" indent="1" readingOrder="1"/>
    </xf>
    <xf numFmtId="0" fontId="11" fillId="9" borderId="7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</cellXfs>
  <cellStyles count="8">
    <cellStyle name="Hipervínculo visitado" xfId="2" builtinId="9" hidden="1"/>
    <cellStyle name="Hipervínculo visitado" xfId="3" builtinId="9" hidden="1"/>
    <cellStyle name="Hipervínculo visitado" xfId="4" builtinId="9" hidden="1"/>
    <cellStyle name="Hipervínculo visitado" xfId="5" builtinId="9" hidden="1"/>
    <cellStyle name="Hipervínculo visitado" xfId="6" builtinId="9" hidden="1"/>
    <cellStyle name="Moneda" xfId="1" builtinId="4"/>
    <cellStyle name="Normal" xfId="0" builtinId="0"/>
    <cellStyle name="Normal 2" xfId="7" xr:uid="{096755C3-0BB5-E94E-8E6C-945830891248}"/>
  </cellStyles>
  <dxfs count="27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ABEFEA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5EE9E7"/>
        </patternFill>
      </fill>
    </dxf>
    <dxf>
      <fill>
        <patternFill>
          <bgColor rgb="FFFFF2CC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</dxfs>
  <tableStyles count="0" defaultTableStyle="TableStyleMedium9" defaultPivotStyle="PivotStyleMedium4"/>
  <colors>
    <mruColors>
      <color rgb="FFFFF2CC"/>
      <color rgb="FF5EE9E7"/>
      <color rgb="FFABEFEA"/>
      <color rgb="FF600000"/>
      <color rgb="FF880000"/>
      <color rgb="FFFF927C"/>
      <color rgb="FFFF8B78"/>
      <color rgb="FFE7FFCA"/>
      <color rgb="FFE8EFF9"/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A1F2-2597-1742-BA2F-7AF250B49533}">
  <sheetPr>
    <tabColor theme="3" tint="0.59999389629810485"/>
    <pageSetUpPr fitToPage="1"/>
  </sheetPr>
  <dimension ref="A1:AO460"/>
  <sheetViews>
    <sheetView showGridLines="0" tabSelected="1" topLeftCell="A16" zoomScale="55" zoomScaleNormal="55" workbookViewId="0">
      <selection activeCell="W10" sqref="W10"/>
    </sheetView>
  </sheetViews>
  <sheetFormatPr baseColWidth="10" defaultColWidth="11" defaultRowHeight="13.2" x14ac:dyDescent="0.25"/>
  <cols>
    <col min="1" max="1" width="3.09765625" style="5" customWidth="1"/>
    <col min="2" max="2" width="18.796875" style="5" customWidth="1"/>
    <col min="3" max="3" width="20.8984375" style="5" customWidth="1"/>
    <col min="4" max="4" width="12.8984375" style="5" customWidth="1"/>
    <col min="5" max="7" width="11.59765625" style="5" customWidth="1"/>
    <col min="8" max="8" width="8.8984375" style="5" customWidth="1"/>
    <col min="9" max="9" width="12.5" style="5" customWidth="1"/>
    <col min="10" max="10" width="14.59765625" style="5" customWidth="1"/>
    <col min="11" max="11" width="8.8984375" style="5" customWidth="1"/>
    <col min="12" max="12" width="16.8984375" style="5" customWidth="1"/>
    <col min="13" max="16" width="11.8984375" style="5" customWidth="1"/>
    <col min="17" max="19" width="12.8984375" style="5" customWidth="1"/>
    <col min="20" max="20" width="3.09765625" style="5" customWidth="1"/>
    <col min="21" max="16384" width="11" style="5"/>
  </cols>
  <sheetData>
    <row r="1" spans="1:41" ht="45" customHeight="1" thickBot="1" x14ac:dyDescent="0.3">
      <c r="A1" s="4"/>
      <c r="B1" s="35" t="s">
        <v>2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8"/>
      <c r="P1" s="8"/>
      <c r="Q1" s="8"/>
      <c r="R1" s="8"/>
      <c r="S1" s="8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s="10" customFormat="1" ht="35.1" customHeight="1" x14ac:dyDescent="0.3">
      <c r="A2" s="9"/>
      <c r="B2" s="41" t="s">
        <v>3</v>
      </c>
      <c r="C2" s="41"/>
      <c r="D2" s="41"/>
      <c r="E2" s="41"/>
      <c r="F2" s="41"/>
      <c r="G2" s="56"/>
      <c r="H2" s="76" t="s">
        <v>4</v>
      </c>
      <c r="I2" s="77"/>
      <c r="J2" s="77"/>
      <c r="K2" s="77" t="s">
        <v>5</v>
      </c>
      <c r="L2" s="77"/>
      <c r="M2" s="77"/>
      <c r="N2" s="78" t="s">
        <v>6</v>
      </c>
      <c r="O2" s="79"/>
      <c r="P2" s="80"/>
      <c r="Q2" s="81" t="s">
        <v>7</v>
      </c>
      <c r="R2" s="79"/>
      <c r="S2" s="82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s="10" customFormat="1" ht="35.1" customHeight="1" x14ac:dyDescent="0.3">
      <c r="A3" s="9"/>
      <c r="B3" s="36" t="s">
        <v>8</v>
      </c>
      <c r="C3" s="36" t="s">
        <v>9</v>
      </c>
      <c r="D3" s="36" t="s">
        <v>10</v>
      </c>
      <c r="E3" s="19" t="s">
        <v>11</v>
      </c>
      <c r="F3" s="19" t="s">
        <v>12</v>
      </c>
      <c r="G3" s="57" t="s">
        <v>13</v>
      </c>
      <c r="H3" s="49" t="s">
        <v>14</v>
      </c>
      <c r="I3" s="20" t="s">
        <v>15</v>
      </c>
      <c r="J3" s="20" t="s">
        <v>16</v>
      </c>
      <c r="K3" s="19" t="s">
        <v>17</v>
      </c>
      <c r="L3" s="19" t="s">
        <v>18</v>
      </c>
      <c r="M3" s="19" t="s">
        <v>19</v>
      </c>
      <c r="N3" s="19" t="s">
        <v>20</v>
      </c>
      <c r="O3" s="19" t="s">
        <v>21</v>
      </c>
      <c r="P3" s="47" t="s">
        <v>22</v>
      </c>
      <c r="Q3" s="54" t="s">
        <v>23</v>
      </c>
      <c r="R3" s="53" t="s">
        <v>24</v>
      </c>
      <c r="S3" s="51" t="s">
        <v>25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s="10" customFormat="1" ht="30" customHeight="1" x14ac:dyDescent="0.3">
      <c r="A4" s="9"/>
      <c r="B4" s="37" t="s">
        <v>145</v>
      </c>
      <c r="C4" s="37"/>
      <c r="D4" s="37"/>
      <c r="E4" s="59"/>
      <c r="F4" s="59"/>
      <c r="G4" s="60"/>
      <c r="H4" s="61"/>
      <c r="I4" s="62"/>
      <c r="J4" s="62"/>
      <c r="K4" s="62"/>
      <c r="L4" s="62"/>
      <c r="M4" s="62"/>
      <c r="N4" s="62"/>
      <c r="O4" s="62"/>
      <c r="P4" s="63"/>
      <c r="Q4" s="64"/>
      <c r="R4" s="65"/>
      <c r="S4" s="65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s="10" customFormat="1" ht="30" customHeight="1" x14ac:dyDescent="0.3">
      <c r="A5" s="9"/>
      <c r="B5" s="38" t="s">
        <v>40</v>
      </c>
      <c r="C5" s="38" t="s">
        <v>41</v>
      </c>
      <c r="D5" s="16" t="s">
        <v>33</v>
      </c>
      <c r="E5" s="43">
        <v>46205</v>
      </c>
      <c r="F5" s="43">
        <v>46205</v>
      </c>
      <c r="G5" s="66">
        <v>46236</v>
      </c>
      <c r="H5" s="67">
        <v>16</v>
      </c>
      <c r="I5" s="45">
        <v>50000</v>
      </c>
      <c r="J5" s="68">
        <v>800000</v>
      </c>
      <c r="K5" s="44">
        <v>1</v>
      </c>
      <c r="L5" s="45">
        <v>50000</v>
      </c>
      <c r="M5" s="68">
        <v>50000</v>
      </c>
      <c r="N5" s="46">
        <v>0</v>
      </c>
      <c r="O5" s="46">
        <v>0</v>
      </c>
      <c r="P5" s="69">
        <v>20000</v>
      </c>
      <c r="Q5" s="70">
        <v>870000</v>
      </c>
      <c r="R5" s="71">
        <v>870000</v>
      </c>
      <c r="S5" s="72">
        <v>0</v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1" s="10" customFormat="1" ht="30" customHeight="1" x14ac:dyDescent="0.3">
      <c r="A6" s="9"/>
      <c r="B6" s="38" t="s">
        <v>42</v>
      </c>
      <c r="C6" s="38" t="s">
        <v>43</v>
      </c>
      <c r="D6" s="16" t="s">
        <v>33</v>
      </c>
      <c r="E6" s="43">
        <v>46267</v>
      </c>
      <c r="F6" s="43">
        <v>46267</v>
      </c>
      <c r="G6" s="66">
        <v>46328</v>
      </c>
      <c r="H6" s="67">
        <v>24</v>
      </c>
      <c r="I6" s="45">
        <v>50000</v>
      </c>
      <c r="J6" s="68">
        <v>1200000</v>
      </c>
      <c r="K6" s="44">
        <v>1</v>
      </c>
      <c r="L6" s="45">
        <v>50000</v>
      </c>
      <c r="M6" s="68">
        <v>50000</v>
      </c>
      <c r="N6" s="46">
        <v>0</v>
      </c>
      <c r="O6" s="46">
        <v>0</v>
      </c>
      <c r="P6" s="69">
        <v>20000</v>
      </c>
      <c r="Q6" s="70">
        <v>1270000</v>
      </c>
      <c r="R6" s="71">
        <v>1270000</v>
      </c>
      <c r="S6" s="72">
        <v>0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1" s="10" customFormat="1" ht="30" customHeight="1" x14ac:dyDescent="0.3">
      <c r="A7" s="9"/>
      <c r="B7" s="38" t="s">
        <v>44</v>
      </c>
      <c r="C7" s="38" t="s">
        <v>45</v>
      </c>
      <c r="D7" s="16" t="s">
        <v>33</v>
      </c>
      <c r="E7" s="43">
        <v>46358</v>
      </c>
      <c r="F7" s="43">
        <v>46358</v>
      </c>
      <c r="G7" s="66">
        <v>42401</v>
      </c>
      <c r="H7" s="67">
        <v>40</v>
      </c>
      <c r="I7" s="45">
        <v>50000</v>
      </c>
      <c r="J7" s="68">
        <v>2000000</v>
      </c>
      <c r="K7" s="44">
        <v>1</v>
      </c>
      <c r="L7" s="45">
        <v>100000</v>
      </c>
      <c r="M7" s="68">
        <v>100000</v>
      </c>
      <c r="N7" s="46">
        <v>0</v>
      </c>
      <c r="O7" s="46">
        <v>0</v>
      </c>
      <c r="P7" s="69">
        <v>50000</v>
      </c>
      <c r="Q7" s="70">
        <v>2150000</v>
      </c>
      <c r="R7" s="71">
        <v>2150000</v>
      </c>
      <c r="S7" s="72">
        <v>0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s="10" customFormat="1" ht="30" customHeight="1" x14ac:dyDescent="0.3">
      <c r="A8" s="9"/>
      <c r="B8" s="38" t="s">
        <v>46</v>
      </c>
      <c r="C8" s="38" t="s">
        <v>47</v>
      </c>
      <c r="D8" s="16" t="s">
        <v>33</v>
      </c>
      <c r="E8" s="43">
        <v>42767</v>
      </c>
      <c r="F8" s="43">
        <v>42767</v>
      </c>
      <c r="G8" s="66">
        <v>43862</v>
      </c>
      <c r="H8" s="67">
        <v>32</v>
      </c>
      <c r="I8" s="45">
        <v>50000</v>
      </c>
      <c r="J8" s="68">
        <v>1600000</v>
      </c>
      <c r="K8" s="44">
        <v>1</v>
      </c>
      <c r="L8" s="45">
        <v>50000</v>
      </c>
      <c r="M8" s="68">
        <v>50000</v>
      </c>
      <c r="N8" s="46">
        <v>0</v>
      </c>
      <c r="O8" s="46">
        <v>0</v>
      </c>
      <c r="P8" s="69">
        <v>20000</v>
      </c>
      <c r="Q8" s="70">
        <v>1670000</v>
      </c>
      <c r="R8" s="71">
        <v>1670000</v>
      </c>
      <c r="S8" s="72">
        <v>0</v>
      </c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1:41" s="10" customFormat="1" ht="30" customHeight="1" x14ac:dyDescent="0.3">
      <c r="A9" s="9"/>
      <c r="B9" s="38" t="s">
        <v>48</v>
      </c>
      <c r="C9" s="38" t="s">
        <v>49</v>
      </c>
      <c r="D9" s="16" t="s">
        <v>33</v>
      </c>
      <c r="E9" s="43">
        <v>44228</v>
      </c>
      <c r="F9" s="43">
        <v>44228</v>
      </c>
      <c r="G9" s="66">
        <v>44958</v>
      </c>
      <c r="H9" s="67">
        <v>24</v>
      </c>
      <c r="I9" s="45">
        <v>50000</v>
      </c>
      <c r="J9" s="68">
        <v>1200000</v>
      </c>
      <c r="K9" s="44">
        <v>1</v>
      </c>
      <c r="L9" s="45">
        <v>50000</v>
      </c>
      <c r="M9" s="68">
        <v>50000</v>
      </c>
      <c r="N9" s="46">
        <v>0</v>
      </c>
      <c r="O9" s="46">
        <v>0</v>
      </c>
      <c r="P9" s="69">
        <v>20000</v>
      </c>
      <c r="Q9" s="70">
        <v>1270000</v>
      </c>
      <c r="R9" s="71">
        <v>1270000</v>
      </c>
      <c r="S9" s="72">
        <v>0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s="10" customFormat="1" ht="30" customHeight="1" x14ac:dyDescent="0.3">
      <c r="A10" s="9"/>
      <c r="B10" s="38" t="s">
        <v>50</v>
      </c>
      <c r="C10" s="38" t="s">
        <v>51</v>
      </c>
      <c r="D10" s="16" t="s">
        <v>33</v>
      </c>
      <c r="E10" s="43">
        <v>45323</v>
      </c>
      <c r="F10" s="43">
        <v>45323</v>
      </c>
      <c r="G10" s="66">
        <v>46419</v>
      </c>
      <c r="H10" s="67">
        <v>32</v>
      </c>
      <c r="I10" s="45">
        <v>50000</v>
      </c>
      <c r="J10" s="68">
        <v>1600000</v>
      </c>
      <c r="K10" s="44">
        <v>1</v>
      </c>
      <c r="L10" s="45">
        <v>50000</v>
      </c>
      <c r="M10" s="68">
        <v>50000</v>
      </c>
      <c r="N10" s="46">
        <v>0</v>
      </c>
      <c r="O10" s="46">
        <v>0</v>
      </c>
      <c r="P10" s="69">
        <v>20000</v>
      </c>
      <c r="Q10" s="70">
        <v>1670000</v>
      </c>
      <c r="R10" s="71">
        <v>1670000</v>
      </c>
      <c r="S10" s="72">
        <v>0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s="10" customFormat="1" ht="30" customHeight="1" x14ac:dyDescent="0.3">
      <c r="A11" s="9"/>
      <c r="B11" s="38" t="s">
        <v>52</v>
      </c>
      <c r="C11" s="38" t="s">
        <v>53</v>
      </c>
      <c r="D11" s="16" t="s">
        <v>33</v>
      </c>
      <c r="E11" s="43">
        <v>46784</v>
      </c>
      <c r="F11" s="43">
        <v>46784</v>
      </c>
      <c r="G11" s="66">
        <v>46025</v>
      </c>
      <c r="H11" s="67">
        <v>16</v>
      </c>
      <c r="I11" s="45">
        <v>50000</v>
      </c>
      <c r="J11" s="68">
        <v>800000</v>
      </c>
      <c r="K11" s="44">
        <v>1</v>
      </c>
      <c r="L11" s="45">
        <v>50000</v>
      </c>
      <c r="M11" s="68">
        <v>50000</v>
      </c>
      <c r="N11" s="46">
        <v>0</v>
      </c>
      <c r="O11" s="46">
        <v>0</v>
      </c>
      <c r="P11" s="69">
        <v>20000</v>
      </c>
      <c r="Q11" s="70">
        <v>870000</v>
      </c>
      <c r="R11" s="71">
        <v>870000</v>
      </c>
      <c r="S11" s="72">
        <v>0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1:41" s="10" customFormat="1" ht="30" customHeight="1" x14ac:dyDescent="0.3">
      <c r="A12" s="9"/>
      <c r="B12" s="38" t="s">
        <v>54</v>
      </c>
      <c r="C12" s="38" t="s">
        <v>55</v>
      </c>
      <c r="D12" s="16" t="s">
        <v>33</v>
      </c>
      <c r="E12" s="43">
        <v>46056</v>
      </c>
      <c r="F12" s="43">
        <v>46056</v>
      </c>
      <c r="G12" s="66">
        <v>46084</v>
      </c>
      <c r="H12" s="67">
        <v>16</v>
      </c>
      <c r="I12" s="45">
        <v>50000</v>
      </c>
      <c r="J12" s="68">
        <v>800000</v>
      </c>
      <c r="K12" s="44">
        <v>1</v>
      </c>
      <c r="L12" s="45">
        <v>200000</v>
      </c>
      <c r="M12" s="68">
        <v>200000</v>
      </c>
      <c r="N12" s="46">
        <v>0</v>
      </c>
      <c r="O12" s="46">
        <v>300000</v>
      </c>
      <c r="P12" s="69">
        <v>50000</v>
      </c>
      <c r="Q12" s="70">
        <v>1350000</v>
      </c>
      <c r="R12" s="71">
        <v>1350000</v>
      </c>
      <c r="S12" s="72">
        <v>0</v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1" s="10" customFormat="1" ht="30" customHeight="1" x14ac:dyDescent="0.3">
      <c r="A13" s="9"/>
      <c r="B13" s="38" t="s">
        <v>56</v>
      </c>
      <c r="C13" s="38" t="s">
        <v>57</v>
      </c>
      <c r="D13" s="16" t="s">
        <v>33</v>
      </c>
      <c r="E13" s="43">
        <v>46115</v>
      </c>
      <c r="F13" s="43">
        <v>46115</v>
      </c>
      <c r="G13" s="66">
        <v>46176</v>
      </c>
      <c r="H13" s="67">
        <v>24</v>
      </c>
      <c r="I13" s="45">
        <v>50000</v>
      </c>
      <c r="J13" s="68">
        <v>1200000</v>
      </c>
      <c r="K13" s="44">
        <v>1</v>
      </c>
      <c r="L13" s="45">
        <v>50000</v>
      </c>
      <c r="M13" s="68">
        <v>50000</v>
      </c>
      <c r="N13" s="46">
        <v>0</v>
      </c>
      <c r="O13" s="46">
        <v>0</v>
      </c>
      <c r="P13" s="69">
        <v>20000</v>
      </c>
      <c r="Q13" s="70">
        <v>1270000</v>
      </c>
      <c r="R13" s="71">
        <v>1270000</v>
      </c>
      <c r="S13" s="72">
        <v>0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s="10" customFormat="1" ht="30" customHeight="1" x14ac:dyDescent="0.3">
      <c r="A14" s="9"/>
      <c r="B14" s="38" t="s">
        <v>58</v>
      </c>
      <c r="C14" s="38" t="s">
        <v>59</v>
      </c>
      <c r="D14" s="16" t="s">
        <v>33</v>
      </c>
      <c r="E14" s="43">
        <v>46206</v>
      </c>
      <c r="F14" s="43">
        <v>46206</v>
      </c>
      <c r="G14" s="66">
        <v>46237</v>
      </c>
      <c r="H14" s="67">
        <v>16</v>
      </c>
      <c r="I14" s="45">
        <v>50000</v>
      </c>
      <c r="J14" s="68">
        <v>800000</v>
      </c>
      <c r="K14" s="44">
        <v>1</v>
      </c>
      <c r="L14" s="45">
        <v>20000</v>
      </c>
      <c r="M14" s="68">
        <v>20000</v>
      </c>
      <c r="N14" s="46">
        <v>0</v>
      </c>
      <c r="O14" s="46">
        <v>0</v>
      </c>
      <c r="P14" s="69">
        <v>10000</v>
      </c>
      <c r="Q14" s="70">
        <v>830000</v>
      </c>
      <c r="R14" s="71">
        <v>830000</v>
      </c>
      <c r="S14" s="72">
        <v>0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s="10" customFormat="1" ht="30" customHeight="1" x14ac:dyDescent="0.3">
      <c r="A15" s="9"/>
      <c r="B15" s="38" t="s">
        <v>60</v>
      </c>
      <c r="C15" s="38" t="s">
        <v>61</v>
      </c>
      <c r="D15" s="16" t="s">
        <v>33</v>
      </c>
      <c r="E15" s="43">
        <v>46268</v>
      </c>
      <c r="F15" s="43">
        <v>46268</v>
      </c>
      <c r="G15" s="66">
        <v>46329</v>
      </c>
      <c r="H15" s="67">
        <v>24</v>
      </c>
      <c r="I15" s="45">
        <v>50000</v>
      </c>
      <c r="J15" s="68">
        <v>1200000</v>
      </c>
      <c r="K15" s="44">
        <v>1</v>
      </c>
      <c r="L15" s="45">
        <v>20000</v>
      </c>
      <c r="M15" s="68">
        <v>20000</v>
      </c>
      <c r="N15" s="46">
        <v>0</v>
      </c>
      <c r="O15" s="46">
        <v>0</v>
      </c>
      <c r="P15" s="69">
        <v>10000</v>
      </c>
      <c r="Q15" s="70">
        <v>1230000</v>
      </c>
      <c r="R15" s="71">
        <v>1230000</v>
      </c>
      <c r="S15" s="72">
        <v>0</v>
      </c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s="10" customFormat="1" ht="30" customHeight="1" x14ac:dyDescent="0.3">
      <c r="A16" s="9"/>
      <c r="B16" s="38" t="s">
        <v>62</v>
      </c>
      <c r="C16" s="38" t="s">
        <v>63</v>
      </c>
      <c r="D16" s="16" t="s">
        <v>33</v>
      </c>
      <c r="E16" s="43">
        <v>46359</v>
      </c>
      <c r="F16" s="43">
        <v>46359</v>
      </c>
      <c r="G16" s="66">
        <v>41334</v>
      </c>
      <c r="H16" s="67">
        <v>16</v>
      </c>
      <c r="I16" s="45">
        <v>50000</v>
      </c>
      <c r="J16" s="68">
        <v>800000</v>
      </c>
      <c r="K16" s="44">
        <v>1</v>
      </c>
      <c r="L16" s="45">
        <v>20000</v>
      </c>
      <c r="M16" s="68">
        <v>20000</v>
      </c>
      <c r="N16" s="46">
        <v>0</v>
      </c>
      <c r="O16" s="46">
        <v>0</v>
      </c>
      <c r="P16" s="69">
        <v>10000</v>
      </c>
      <c r="Q16" s="70">
        <v>830000</v>
      </c>
      <c r="R16" s="71">
        <v>830000</v>
      </c>
      <c r="S16" s="72">
        <v>0</v>
      </c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 s="10" customFormat="1" ht="30" customHeight="1" x14ac:dyDescent="0.3">
      <c r="A17" s="9"/>
      <c r="B17" s="38" t="s">
        <v>64</v>
      </c>
      <c r="C17" s="38" t="s">
        <v>65</v>
      </c>
      <c r="D17" s="16" t="s">
        <v>33</v>
      </c>
      <c r="E17" s="43">
        <v>41699</v>
      </c>
      <c r="F17" s="43">
        <v>41699</v>
      </c>
      <c r="G17" s="66">
        <v>42064</v>
      </c>
      <c r="H17" s="67">
        <v>16</v>
      </c>
      <c r="I17" s="45">
        <v>50000</v>
      </c>
      <c r="J17" s="68">
        <v>800000</v>
      </c>
      <c r="K17" s="44">
        <v>1</v>
      </c>
      <c r="L17" s="45">
        <v>20000</v>
      </c>
      <c r="M17" s="68">
        <v>20000</v>
      </c>
      <c r="N17" s="46">
        <v>0</v>
      </c>
      <c r="O17" s="46">
        <v>0</v>
      </c>
      <c r="P17" s="69">
        <v>10000</v>
      </c>
      <c r="Q17" s="70">
        <v>830000</v>
      </c>
      <c r="R17" s="71">
        <v>830000</v>
      </c>
      <c r="S17" s="72">
        <v>0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s="10" customFormat="1" ht="30" customHeight="1" x14ac:dyDescent="0.3">
      <c r="A18" s="9"/>
      <c r="B18" s="38" t="s">
        <v>66</v>
      </c>
      <c r="C18" s="38" t="s">
        <v>67</v>
      </c>
      <c r="D18" s="16" t="s">
        <v>33</v>
      </c>
      <c r="E18" s="43">
        <v>42430</v>
      </c>
      <c r="F18" s="43">
        <v>42430</v>
      </c>
      <c r="G18" s="66">
        <v>42795</v>
      </c>
      <c r="H18" s="67">
        <v>16</v>
      </c>
      <c r="I18" s="45">
        <v>50000</v>
      </c>
      <c r="J18" s="68">
        <v>800000</v>
      </c>
      <c r="K18" s="44">
        <v>1</v>
      </c>
      <c r="L18" s="45">
        <v>20000</v>
      </c>
      <c r="M18" s="68">
        <v>20000</v>
      </c>
      <c r="N18" s="46">
        <v>0</v>
      </c>
      <c r="O18" s="46">
        <v>0</v>
      </c>
      <c r="P18" s="69">
        <v>10000</v>
      </c>
      <c r="Q18" s="70">
        <v>830000</v>
      </c>
      <c r="R18" s="71">
        <v>830000</v>
      </c>
      <c r="S18" s="72">
        <v>0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1:41" s="10" customFormat="1" ht="30" customHeight="1" x14ac:dyDescent="0.3">
      <c r="A19" s="9"/>
      <c r="B19" s="38" t="s">
        <v>68</v>
      </c>
      <c r="C19" s="38" t="s">
        <v>69</v>
      </c>
      <c r="D19" s="16" t="s">
        <v>33</v>
      </c>
      <c r="E19" s="43">
        <v>43160</v>
      </c>
      <c r="F19" s="43">
        <v>43160</v>
      </c>
      <c r="G19" s="66">
        <v>43525</v>
      </c>
      <c r="H19" s="67">
        <v>16</v>
      </c>
      <c r="I19" s="45">
        <v>50000</v>
      </c>
      <c r="J19" s="68">
        <v>800000</v>
      </c>
      <c r="K19" s="44">
        <v>1</v>
      </c>
      <c r="L19" s="45">
        <v>20000</v>
      </c>
      <c r="M19" s="68">
        <v>20000</v>
      </c>
      <c r="N19" s="46">
        <v>0</v>
      </c>
      <c r="O19" s="46">
        <v>0</v>
      </c>
      <c r="P19" s="69">
        <v>10000</v>
      </c>
      <c r="Q19" s="70">
        <v>830000</v>
      </c>
      <c r="R19" s="71">
        <v>830000</v>
      </c>
      <c r="S19" s="72">
        <v>0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s="10" customFormat="1" ht="30" customHeight="1" x14ac:dyDescent="0.3">
      <c r="A20" s="9"/>
      <c r="B20" s="38" t="s">
        <v>70</v>
      </c>
      <c r="C20" s="38" t="s">
        <v>71</v>
      </c>
      <c r="D20" s="16" t="s">
        <v>33</v>
      </c>
      <c r="E20" s="43">
        <v>44256</v>
      </c>
      <c r="F20" s="43">
        <v>44256</v>
      </c>
      <c r="G20" s="66">
        <v>44621</v>
      </c>
      <c r="H20" s="67">
        <v>16</v>
      </c>
      <c r="I20" s="45">
        <v>70000</v>
      </c>
      <c r="J20" s="68">
        <v>1120000</v>
      </c>
      <c r="K20" s="44">
        <v>1</v>
      </c>
      <c r="L20" s="45">
        <v>100000</v>
      </c>
      <c r="M20" s="68">
        <v>100000</v>
      </c>
      <c r="N20" s="46">
        <v>0</v>
      </c>
      <c r="O20" s="46">
        <v>0</v>
      </c>
      <c r="P20" s="69">
        <v>30000</v>
      </c>
      <c r="Q20" s="70">
        <v>1250000</v>
      </c>
      <c r="R20" s="71">
        <v>1250000</v>
      </c>
      <c r="S20" s="72">
        <v>0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1:41" s="10" customFormat="1" ht="30" customHeight="1" x14ac:dyDescent="0.3">
      <c r="A21" s="9"/>
      <c r="B21" s="38" t="s">
        <v>72</v>
      </c>
      <c r="C21" s="38" t="s">
        <v>73</v>
      </c>
      <c r="D21" s="16" t="s">
        <v>33</v>
      </c>
      <c r="E21" s="43">
        <v>44986</v>
      </c>
      <c r="F21" s="43">
        <v>44986</v>
      </c>
      <c r="G21" s="66">
        <v>45352</v>
      </c>
      <c r="H21" s="67">
        <v>16</v>
      </c>
      <c r="I21" s="45">
        <v>70000</v>
      </c>
      <c r="J21" s="68">
        <v>1120000</v>
      </c>
      <c r="K21" s="44">
        <v>1</v>
      </c>
      <c r="L21" s="45">
        <v>100000</v>
      </c>
      <c r="M21" s="68">
        <v>100000</v>
      </c>
      <c r="N21" s="46">
        <v>0</v>
      </c>
      <c r="O21" s="46">
        <v>0</v>
      </c>
      <c r="P21" s="69">
        <v>30000</v>
      </c>
      <c r="Q21" s="70">
        <v>1250000</v>
      </c>
      <c r="R21" s="71">
        <v>1250000</v>
      </c>
      <c r="S21" s="72">
        <v>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1:41" s="10" customFormat="1" ht="30" customHeight="1" x14ac:dyDescent="0.3">
      <c r="A22" s="9"/>
      <c r="B22" s="38" t="s">
        <v>74</v>
      </c>
      <c r="C22" s="38" t="s">
        <v>75</v>
      </c>
      <c r="D22" s="16" t="s">
        <v>33</v>
      </c>
      <c r="E22" s="43">
        <v>45717</v>
      </c>
      <c r="F22" s="43">
        <v>45717</v>
      </c>
      <c r="G22" s="66">
        <v>45717</v>
      </c>
      <c r="H22" s="67">
        <v>8</v>
      </c>
      <c r="I22" s="45">
        <v>70000</v>
      </c>
      <c r="J22" s="68">
        <v>560000</v>
      </c>
      <c r="K22" s="44">
        <v>1</v>
      </c>
      <c r="L22" s="45">
        <v>50000</v>
      </c>
      <c r="M22" s="68">
        <v>50000</v>
      </c>
      <c r="N22" s="46">
        <v>0</v>
      </c>
      <c r="O22" s="46">
        <v>0</v>
      </c>
      <c r="P22" s="69">
        <v>20000</v>
      </c>
      <c r="Q22" s="70">
        <v>630000</v>
      </c>
      <c r="R22" s="71">
        <v>630000</v>
      </c>
      <c r="S22" s="72">
        <v>0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 s="10" customFormat="1" ht="30" customHeight="1" x14ac:dyDescent="0.3">
      <c r="A23" s="9"/>
      <c r="B23" s="38" t="s">
        <v>76</v>
      </c>
      <c r="C23" s="38" t="s">
        <v>77</v>
      </c>
      <c r="D23" s="16" t="s">
        <v>33</v>
      </c>
      <c r="E23" s="43">
        <v>46082</v>
      </c>
      <c r="F23" s="43">
        <v>46082</v>
      </c>
      <c r="G23" s="66">
        <v>46447</v>
      </c>
      <c r="H23" s="67">
        <v>16</v>
      </c>
      <c r="I23" s="45">
        <v>70000</v>
      </c>
      <c r="J23" s="68">
        <v>1120000</v>
      </c>
      <c r="K23" s="44">
        <v>1</v>
      </c>
      <c r="L23" s="45">
        <v>50000</v>
      </c>
      <c r="M23" s="68">
        <v>50000</v>
      </c>
      <c r="N23" s="46">
        <v>0</v>
      </c>
      <c r="O23" s="46">
        <v>0</v>
      </c>
      <c r="P23" s="69">
        <v>20000</v>
      </c>
      <c r="Q23" s="70">
        <v>1190000</v>
      </c>
      <c r="R23" s="71">
        <v>1190000</v>
      </c>
      <c r="S23" s="72">
        <v>0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s="10" customFormat="1" ht="30" customHeight="1" x14ac:dyDescent="0.3">
      <c r="A24" s="9"/>
      <c r="B24" s="38" t="s">
        <v>78</v>
      </c>
      <c r="C24" s="38" t="s">
        <v>79</v>
      </c>
      <c r="D24" s="16" t="s">
        <v>33</v>
      </c>
      <c r="E24" s="43">
        <v>46813</v>
      </c>
      <c r="F24" s="43">
        <v>46813</v>
      </c>
      <c r="G24" s="66">
        <v>47178</v>
      </c>
      <c r="H24" s="67">
        <v>16</v>
      </c>
      <c r="I24" s="45">
        <v>70000</v>
      </c>
      <c r="J24" s="68">
        <v>1120000</v>
      </c>
      <c r="K24" s="44">
        <v>1</v>
      </c>
      <c r="L24" s="45">
        <v>50000</v>
      </c>
      <c r="M24" s="68">
        <v>50000</v>
      </c>
      <c r="N24" s="46">
        <v>0</v>
      </c>
      <c r="O24" s="46">
        <v>0</v>
      </c>
      <c r="P24" s="69">
        <v>20000</v>
      </c>
      <c r="Q24" s="70">
        <v>1190000</v>
      </c>
      <c r="R24" s="71">
        <v>1190000</v>
      </c>
      <c r="S24" s="72">
        <v>0</v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 s="10" customFormat="1" ht="30" customHeight="1" x14ac:dyDescent="0.3">
      <c r="A25" s="9"/>
      <c r="B25" s="38" t="s">
        <v>80</v>
      </c>
      <c r="C25" s="38" t="s">
        <v>81</v>
      </c>
      <c r="D25" s="16" t="s">
        <v>33</v>
      </c>
      <c r="E25" s="43">
        <v>47543</v>
      </c>
      <c r="F25" s="43">
        <v>47543</v>
      </c>
      <c r="G25" s="66">
        <v>47908</v>
      </c>
      <c r="H25" s="67">
        <v>16</v>
      </c>
      <c r="I25" s="45">
        <v>70000</v>
      </c>
      <c r="J25" s="68">
        <v>1120000</v>
      </c>
      <c r="K25" s="44">
        <v>1</v>
      </c>
      <c r="L25" s="45">
        <v>50000</v>
      </c>
      <c r="M25" s="68">
        <v>50000</v>
      </c>
      <c r="N25" s="46">
        <v>0</v>
      </c>
      <c r="O25" s="46">
        <v>0</v>
      </c>
      <c r="P25" s="69">
        <v>20000</v>
      </c>
      <c r="Q25" s="70">
        <v>1190000</v>
      </c>
      <c r="R25" s="71">
        <v>1190000</v>
      </c>
      <c r="S25" s="72">
        <v>0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s="10" customFormat="1" ht="30" customHeight="1" x14ac:dyDescent="0.3">
      <c r="A26" s="9"/>
      <c r="B26" s="38" t="s">
        <v>82</v>
      </c>
      <c r="C26" s="38" t="s">
        <v>83</v>
      </c>
      <c r="D26" s="16" t="s">
        <v>33</v>
      </c>
      <c r="E26" s="43">
        <v>46026</v>
      </c>
      <c r="F26" s="43">
        <v>46026</v>
      </c>
      <c r="G26" s="66">
        <v>46057</v>
      </c>
      <c r="H26" s="67">
        <v>16</v>
      </c>
      <c r="I26" s="45">
        <v>70000</v>
      </c>
      <c r="J26" s="68">
        <v>1120000</v>
      </c>
      <c r="K26" s="44">
        <v>1</v>
      </c>
      <c r="L26" s="45">
        <v>100000</v>
      </c>
      <c r="M26" s="68">
        <v>100000</v>
      </c>
      <c r="N26" s="46">
        <v>0</v>
      </c>
      <c r="O26" s="46">
        <v>0</v>
      </c>
      <c r="P26" s="69">
        <v>30000</v>
      </c>
      <c r="Q26" s="70">
        <v>1250000</v>
      </c>
      <c r="R26" s="71">
        <v>1250000</v>
      </c>
      <c r="S26" s="72">
        <v>0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1" s="10" customFormat="1" ht="30" customHeight="1" x14ac:dyDescent="0.3">
      <c r="A27" s="9"/>
      <c r="B27" s="38" t="s">
        <v>84</v>
      </c>
      <c r="C27" s="38" t="s">
        <v>85</v>
      </c>
      <c r="D27" s="16" t="s">
        <v>33</v>
      </c>
      <c r="E27" s="43">
        <v>46085</v>
      </c>
      <c r="F27" s="43">
        <v>46085</v>
      </c>
      <c r="G27" s="66">
        <v>46116</v>
      </c>
      <c r="H27" s="67">
        <v>16</v>
      </c>
      <c r="I27" s="45">
        <v>70000</v>
      </c>
      <c r="J27" s="68">
        <v>1120000</v>
      </c>
      <c r="K27" s="44">
        <v>1</v>
      </c>
      <c r="L27" s="45">
        <v>100000</v>
      </c>
      <c r="M27" s="68">
        <v>100000</v>
      </c>
      <c r="N27" s="46">
        <v>0</v>
      </c>
      <c r="O27" s="46">
        <v>0</v>
      </c>
      <c r="P27" s="69">
        <v>30000</v>
      </c>
      <c r="Q27" s="70">
        <v>1250000</v>
      </c>
      <c r="R27" s="71">
        <v>1250000</v>
      </c>
      <c r="S27" s="72">
        <v>0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s="10" customFormat="1" ht="30" customHeight="1" x14ac:dyDescent="0.3">
      <c r="A28" s="9"/>
      <c r="B28" s="38" t="s">
        <v>86</v>
      </c>
      <c r="C28" s="38" t="s">
        <v>87</v>
      </c>
      <c r="D28" s="16" t="s">
        <v>33</v>
      </c>
      <c r="E28" s="43">
        <v>46146</v>
      </c>
      <c r="F28" s="43">
        <v>46146</v>
      </c>
      <c r="G28" s="66">
        <v>46146</v>
      </c>
      <c r="H28" s="67">
        <v>8</v>
      </c>
      <c r="I28" s="45">
        <v>70000</v>
      </c>
      <c r="J28" s="68">
        <v>560000</v>
      </c>
      <c r="K28" s="44">
        <v>1</v>
      </c>
      <c r="L28" s="45">
        <v>100000</v>
      </c>
      <c r="M28" s="68">
        <v>100000</v>
      </c>
      <c r="N28" s="46">
        <v>0</v>
      </c>
      <c r="O28" s="46">
        <v>0</v>
      </c>
      <c r="P28" s="69">
        <v>30000</v>
      </c>
      <c r="Q28" s="70">
        <v>690000</v>
      </c>
      <c r="R28" s="71">
        <v>690000</v>
      </c>
      <c r="S28" s="72">
        <v>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 s="10" customFormat="1" ht="30" customHeight="1" x14ac:dyDescent="0.3">
      <c r="A29" s="9"/>
      <c r="B29" s="38" t="s">
        <v>88</v>
      </c>
      <c r="C29" s="38" t="s">
        <v>89</v>
      </c>
      <c r="D29" s="16" t="s">
        <v>33</v>
      </c>
      <c r="E29" s="43">
        <v>46177</v>
      </c>
      <c r="F29" s="43">
        <v>46177</v>
      </c>
      <c r="G29" s="66">
        <v>46177</v>
      </c>
      <c r="H29" s="67">
        <v>8</v>
      </c>
      <c r="I29" s="45">
        <v>70000</v>
      </c>
      <c r="J29" s="68">
        <v>560000</v>
      </c>
      <c r="K29" s="44">
        <v>1</v>
      </c>
      <c r="L29" s="45">
        <v>50000</v>
      </c>
      <c r="M29" s="68">
        <v>50000</v>
      </c>
      <c r="N29" s="46">
        <v>0</v>
      </c>
      <c r="O29" s="46">
        <v>0</v>
      </c>
      <c r="P29" s="69">
        <v>20000</v>
      </c>
      <c r="Q29" s="70">
        <v>630000</v>
      </c>
      <c r="R29" s="71">
        <v>630000</v>
      </c>
      <c r="S29" s="72">
        <v>0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spans="1:41" s="10" customFormat="1" ht="30" customHeight="1" x14ac:dyDescent="0.3">
      <c r="A30" s="9"/>
      <c r="B30" s="38" t="s">
        <v>90</v>
      </c>
      <c r="C30" s="38" t="s">
        <v>91</v>
      </c>
      <c r="D30" s="16" t="s">
        <v>33</v>
      </c>
      <c r="E30" s="43">
        <v>46207</v>
      </c>
      <c r="F30" s="43">
        <v>46207</v>
      </c>
      <c r="G30" s="66">
        <v>46238</v>
      </c>
      <c r="H30" s="67">
        <v>16</v>
      </c>
      <c r="I30" s="45">
        <v>70000</v>
      </c>
      <c r="J30" s="68">
        <v>1120000</v>
      </c>
      <c r="K30" s="44">
        <v>1</v>
      </c>
      <c r="L30" s="45">
        <v>50000</v>
      </c>
      <c r="M30" s="68">
        <v>50000</v>
      </c>
      <c r="N30" s="46">
        <v>0</v>
      </c>
      <c r="O30" s="46">
        <v>0</v>
      </c>
      <c r="P30" s="69">
        <v>20000</v>
      </c>
      <c r="Q30" s="70">
        <v>1190000</v>
      </c>
      <c r="R30" s="71">
        <v>1190000</v>
      </c>
      <c r="S30" s="72">
        <v>0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1:41" s="10" customFormat="1" ht="30" customHeight="1" x14ac:dyDescent="0.3">
      <c r="A31" s="9"/>
      <c r="B31" s="38" t="s">
        <v>92</v>
      </c>
      <c r="C31" s="38" t="s">
        <v>93</v>
      </c>
      <c r="D31" s="16" t="s">
        <v>33</v>
      </c>
      <c r="E31" s="43">
        <v>46269</v>
      </c>
      <c r="F31" s="43">
        <v>46269</v>
      </c>
      <c r="G31" s="66">
        <v>46299</v>
      </c>
      <c r="H31" s="67">
        <v>16</v>
      </c>
      <c r="I31" s="45">
        <v>70000</v>
      </c>
      <c r="J31" s="68">
        <v>1120000</v>
      </c>
      <c r="K31" s="44">
        <v>1</v>
      </c>
      <c r="L31" s="45">
        <v>50000</v>
      </c>
      <c r="M31" s="68">
        <v>50000</v>
      </c>
      <c r="N31" s="46">
        <v>0</v>
      </c>
      <c r="O31" s="46">
        <v>0</v>
      </c>
      <c r="P31" s="69">
        <v>20000</v>
      </c>
      <c r="Q31" s="70">
        <v>1190000</v>
      </c>
      <c r="R31" s="71">
        <v>1190000</v>
      </c>
      <c r="S31" s="72">
        <v>0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1:41" s="10" customFormat="1" ht="30" customHeight="1" x14ac:dyDescent="0.3">
      <c r="A32" s="9"/>
      <c r="B32" s="38" t="s">
        <v>94</v>
      </c>
      <c r="C32" s="38" t="s">
        <v>95</v>
      </c>
      <c r="D32" s="16" t="s">
        <v>33</v>
      </c>
      <c r="E32" s="43">
        <v>46330</v>
      </c>
      <c r="F32" s="43">
        <v>46330</v>
      </c>
      <c r="G32" s="66">
        <v>46330</v>
      </c>
      <c r="H32" s="67">
        <v>8</v>
      </c>
      <c r="I32" s="45">
        <v>70000</v>
      </c>
      <c r="J32" s="68">
        <v>560000</v>
      </c>
      <c r="K32" s="44">
        <v>1</v>
      </c>
      <c r="L32" s="45">
        <v>50000</v>
      </c>
      <c r="M32" s="68">
        <v>50000</v>
      </c>
      <c r="N32" s="46">
        <v>0</v>
      </c>
      <c r="O32" s="46">
        <v>0</v>
      </c>
      <c r="P32" s="69">
        <v>20000</v>
      </c>
      <c r="Q32" s="70">
        <v>630000</v>
      </c>
      <c r="R32" s="71">
        <v>630000</v>
      </c>
      <c r="S32" s="72">
        <v>0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1:41" s="10" customFormat="1" ht="30" customHeight="1" x14ac:dyDescent="0.3">
      <c r="A33" s="9"/>
      <c r="B33" s="38" t="s">
        <v>96</v>
      </c>
      <c r="C33" s="38" t="s">
        <v>97</v>
      </c>
      <c r="D33" s="16" t="s">
        <v>33</v>
      </c>
      <c r="E33" s="43">
        <v>46360</v>
      </c>
      <c r="F33" s="43">
        <v>46360</v>
      </c>
      <c r="G33" s="66">
        <v>46360</v>
      </c>
      <c r="H33" s="67">
        <v>8</v>
      </c>
      <c r="I33" s="45">
        <v>70000</v>
      </c>
      <c r="J33" s="68">
        <v>560000</v>
      </c>
      <c r="K33" s="44">
        <v>1</v>
      </c>
      <c r="L33" s="45">
        <v>50000</v>
      </c>
      <c r="M33" s="68">
        <v>50000</v>
      </c>
      <c r="N33" s="46">
        <v>0</v>
      </c>
      <c r="O33" s="46">
        <v>0</v>
      </c>
      <c r="P33" s="69">
        <v>20000</v>
      </c>
      <c r="Q33" s="70">
        <v>630000</v>
      </c>
      <c r="R33" s="71">
        <v>630000</v>
      </c>
      <c r="S33" s="72">
        <v>0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1:41" s="10" customFormat="1" ht="30" customHeight="1" x14ac:dyDescent="0.3">
      <c r="A34" s="9"/>
      <c r="B34" s="38" t="s">
        <v>98</v>
      </c>
      <c r="C34" s="38" t="s">
        <v>99</v>
      </c>
      <c r="D34" s="16" t="s">
        <v>33</v>
      </c>
      <c r="E34" s="43">
        <v>41365</v>
      </c>
      <c r="F34" s="43">
        <v>41365</v>
      </c>
      <c r="G34" s="66">
        <v>41730</v>
      </c>
      <c r="H34" s="67">
        <v>16</v>
      </c>
      <c r="I34" s="45">
        <v>70000</v>
      </c>
      <c r="J34" s="68">
        <v>1120000</v>
      </c>
      <c r="K34" s="44">
        <v>1</v>
      </c>
      <c r="L34" s="45">
        <v>50000</v>
      </c>
      <c r="M34" s="68">
        <v>50000</v>
      </c>
      <c r="N34" s="46">
        <v>0</v>
      </c>
      <c r="O34" s="46">
        <v>0</v>
      </c>
      <c r="P34" s="69">
        <v>20000</v>
      </c>
      <c r="Q34" s="70">
        <v>1190000</v>
      </c>
      <c r="R34" s="71">
        <v>1190000</v>
      </c>
      <c r="S34" s="72">
        <v>0</v>
      </c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1:41" s="10" customFormat="1" ht="30" customHeight="1" x14ac:dyDescent="0.3">
      <c r="A35" s="9"/>
      <c r="B35" s="38" t="s">
        <v>100</v>
      </c>
      <c r="C35" s="38" t="s">
        <v>101</v>
      </c>
      <c r="D35" s="16" t="s">
        <v>33</v>
      </c>
      <c r="E35" s="43">
        <v>42095</v>
      </c>
      <c r="F35" s="43">
        <v>42095</v>
      </c>
      <c r="G35" s="66">
        <v>42461</v>
      </c>
      <c r="H35" s="67">
        <v>16</v>
      </c>
      <c r="I35" s="45">
        <v>70000</v>
      </c>
      <c r="J35" s="68">
        <v>1120000</v>
      </c>
      <c r="K35" s="44">
        <v>1</v>
      </c>
      <c r="L35" s="45">
        <v>100000</v>
      </c>
      <c r="M35" s="68">
        <v>100000</v>
      </c>
      <c r="N35" s="46">
        <v>0</v>
      </c>
      <c r="O35" s="46">
        <v>200000</v>
      </c>
      <c r="P35" s="69">
        <v>50000</v>
      </c>
      <c r="Q35" s="70">
        <v>1470000</v>
      </c>
      <c r="R35" s="71">
        <v>1470000</v>
      </c>
      <c r="S35" s="72">
        <v>0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1:41" s="10" customFormat="1" ht="30" customHeight="1" x14ac:dyDescent="0.3">
      <c r="A36" s="9"/>
      <c r="B36" s="38" t="s">
        <v>102</v>
      </c>
      <c r="C36" s="38" t="s">
        <v>103</v>
      </c>
      <c r="D36" s="16" t="s">
        <v>33</v>
      </c>
      <c r="E36" s="43">
        <v>42826</v>
      </c>
      <c r="F36" s="43">
        <v>42826</v>
      </c>
      <c r="G36" s="66">
        <v>43191</v>
      </c>
      <c r="H36" s="67">
        <v>16</v>
      </c>
      <c r="I36" s="45">
        <v>70000</v>
      </c>
      <c r="J36" s="68">
        <v>1120000</v>
      </c>
      <c r="K36" s="44">
        <v>1</v>
      </c>
      <c r="L36" s="45">
        <v>100000</v>
      </c>
      <c r="M36" s="68">
        <v>100000</v>
      </c>
      <c r="N36" s="46">
        <v>0</v>
      </c>
      <c r="O36" s="46">
        <v>500000</v>
      </c>
      <c r="P36" s="69">
        <v>50000</v>
      </c>
      <c r="Q36" s="70">
        <v>1770000</v>
      </c>
      <c r="R36" s="71">
        <v>1770000</v>
      </c>
      <c r="S36" s="72">
        <v>0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1:41" s="10" customFormat="1" ht="30" customHeight="1" x14ac:dyDescent="0.3">
      <c r="A37" s="9"/>
      <c r="B37" s="38" t="s">
        <v>104</v>
      </c>
      <c r="C37" s="38" t="s">
        <v>105</v>
      </c>
      <c r="D37" s="16" t="s">
        <v>143</v>
      </c>
      <c r="E37" s="43">
        <v>43556</v>
      </c>
      <c r="F37" s="43">
        <v>43556</v>
      </c>
      <c r="G37" s="66">
        <v>43556</v>
      </c>
      <c r="H37" s="67">
        <v>8</v>
      </c>
      <c r="I37" s="45">
        <v>70000</v>
      </c>
      <c r="J37" s="68">
        <v>560000</v>
      </c>
      <c r="K37" s="44">
        <v>1</v>
      </c>
      <c r="L37" s="45">
        <v>50000</v>
      </c>
      <c r="M37" s="68">
        <v>50000</v>
      </c>
      <c r="N37" s="46">
        <v>0</v>
      </c>
      <c r="O37" s="46">
        <v>200000</v>
      </c>
      <c r="P37" s="69">
        <v>20000</v>
      </c>
      <c r="Q37" s="70">
        <v>830000</v>
      </c>
      <c r="R37" s="71">
        <v>830000</v>
      </c>
      <c r="S37" s="72">
        <v>0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spans="1:41" s="10" customFormat="1" ht="30" customHeight="1" x14ac:dyDescent="0.3">
      <c r="A38" s="9"/>
      <c r="B38" s="38" t="s">
        <v>106</v>
      </c>
      <c r="C38" s="38" t="s">
        <v>107</v>
      </c>
      <c r="D38" s="16" t="s">
        <v>143</v>
      </c>
      <c r="E38" s="43">
        <v>43922</v>
      </c>
      <c r="F38" s="43">
        <v>43922</v>
      </c>
      <c r="G38" s="66">
        <v>44287</v>
      </c>
      <c r="H38" s="67">
        <v>16</v>
      </c>
      <c r="I38" s="45">
        <v>70000</v>
      </c>
      <c r="J38" s="68">
        <v>1120000</v>
      </c>
      <c r="K38" s="44">
        <v>1</v>
      </c>
      <c r="L38" s="45">
        <v>50000</v>
      </c>
      <c r="M38" s="68">
        <v>50000</v>
      </c>
      <c r="N38" s="46">
        <v>0</v>
      </c>
      <c r="O38" s="46">
        <v>0</v>
      </c>
      <c r="P38" s="69">
        <v>20000</v>
      </c>
      <c r="Q38" s="70">
        <v>1190000</v>
      </c>
      <c r="R38" s="71">
        <v>1190000</v>
      </c>
      <c r="S38" s="72">
        <v>0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 spans="1:41" s="10" customFormat="1" ht="30" customHeight="1" x14ac:dyDescent="0.3">
      <c r="A39" s="9"/>
      <c r="B39" s="38" t="s">
        <v>108</v>
      </c>
      <c r="C39" s="38" t="s">
        <v>109</v>
      </c>
      <c r="D39" s="16" t="s">
        <v>143</v>
      </c>
      <c r="E39" s="43">
        <v>44652</v>
      </c>
      <c r="F39" s="43">
        <v>44652</v>
      </c>
      <c r="G39" s="66">
        <v>45017</v>
      </c>
      <c r="H39" s="67">
        <v>16</v>
      </c>
      <c r="I39" s="45">
        <v>70000</v>
      </c>
      <c r="J39" s="68">
        <v>1120000</v>
      </c>
      <c r="K39" s="44">
        <v>1</v>
      </c>
      <c r="L39" s="45">
        <v>50000</v>
      </c>
      <c r="M39" s="68">
        <v>50000</v>
      </c>
      <c r="N39" s="46">
        <v>0</v>
      </c>
      <c r="O39" s="46">
        <v>0</v>
      </c>
      <c r="P39" s="69">
        <v>20000</v>
      </c>
      <c r="Q39" s="70">
        <v>1190000</v>
      </c>
      <c r="R39" s="71">
        <v>1190000</v>
      </c>
      <c r="S39" s="72">
        <v>0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 spans="1:41" s="10" customFormat="1" ht="30" customHeight="1" x14ac:dyDescent="0.3">
      <c r="A40" s="9"/>
      <c r="B40" s="38" t="s">
        <v>110</v>
      </c>
      <c r="C40" s="38" t="s">
        <v>111</v>
      </c>
      <c r="D40" s="16" t="s">
        <v>143</v>
      </c>
      <c r="E40" s="43">
        <v>45383</v>
      </c>
      <c r="F40" s="43">
        <v>45383</v>
      </c>
      <c r="G40" s="66">
        <v>45383</v>
      </c>
      <c r="H40" s="67">
        <v>8</v>
      </c>
      <c r="I40" s="45">
        <v>70000</v>
      </c>
      <c r="J40" s="68">
        <v>560000</v>
      </c>
      <c r="K40" s="44">
        <v>1</v>
      </c>
      <c r="L40" s="45">
        <v>50000</v>
      </c>
      <c r="M40" s="68">
        <v>50000</v>
      </c>
      <c r="N40" s="46">
        <v>0</v>
      </c>
      <c r="O40" s="46">
        <v>0</v>
      </c>
      <c r="P40" s="69">
        <v>20000</v>
      </c>
      <c r="Q40" s="70">
        <v>630000</v>
      </c>
      <c r="R40" s="71">
        <v>630000</v>
      </c>
      <c r="S40" s="72">
        <v>0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1:41" s="10" customFormat="1" ht="30" customHeight="1" x14ac:dyDescent="0.3">
      <c r="A41" s="9"/>
      <c r="B41" s="38" t="s">
        <v>112</v>
      </c>
      <c r="C41" s="38" t="s">
        <v>113</v>
      </c>
      <c r="D41" s="16" t="s">
        <v>143</v>
      </c>
      <c r="E41" s="43">
        <v>45748</v>
      </c>
      <c r="F41" s="43">
        <v>45748</v>
      </c>
      <c r="G41" s="66">
        <v>45748</v>
      </c>
      <c r="H41" s="67">
        <v>8</v>
      </c>
      <c r="I41" s="45">
        <v>60000</v>
      </c>
      <c r="J41" s="68">
        <v>480000</v>
      </c>
      <c r="K41" s="44">
        <v>1</v>
      </c>
      <c r="L41" s="45">
        <v>100000</v>
      </c>
      <c r="M41" s="68">
        <v>100000</v>
      </c>
      <c r="N41" s="46">
        <v>0</v>
      </c>
      <c r="O41" s="46">
        <v>0</v>
      </c>
      <c r="P41" s="69">
        <v>50000</v>
      </c>
      <c r="Q41" s="70">
        <v>630000</v>
      </c>
      <c r="R41" s="71">
        <v>630000</v>
      </c>
      <c r="S41" s="72">
        <v>0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 spans="1:41" s="10" customFormat="1" ht="30" customHeight="1" x14ac:dyDescent="0.3">
      <c r="A42" s="9"/>
      <c r="B42" s="38" t="s">
        <v>114</v>
      </c>
      <c r="C42" s="38" t="s">
        <v>115</v>
      </c>
      <c r="D42" s="16" t="s">
        <v>143</v>
      </c>
      <c r="E42" s="43">
        <v>46113</v>
      </c>
      <c r="F42" s="43">
        <v>46113</v>
      </c>
      <c r="G42" s="66">
        <v>46113</v>
      </c>
      <c r="H42" s="67">
        <v>8</v>
      </c>
      <c r="I42" s="45">
        <v>60000</v>
      </c>
      <c r="J42" s="68">
        <v>480000</v>
      </c>
      <c r="K42" s="44">
        <v>1</v>
      </c>
      <c r="L42" s="45">
        <v>100000</v>
      </c>
      <c r="M42" s="68">
        <v>100000</v>
      </c>
      <c r="N42" s="46">
        <v>0</v>
      </c>
      <c r="O42" s="46">
        <v>0</v>
      </c>
      <c r="P42" s="69">
        <v>50000</v>
      </c>
      <c r="Q42" s="70">
        <v>630000</v>
      </c>
      <c r="R42" s="71">
        <v>630000</v>
      </c>
      <c r="S42" s="72">
        <v>0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 spans="1:41" s="10" customFormat="1" ht="30" customHeight="1" x14ac:dyDescent="0.3">
      <c r="A43" s="9"/>
      <c r="B43" s="38" t="s">
        <v>116</v>
      </c>
      <c r="C43" s="38" t="s">
        <v>117</v>
      </c>
      <c r="D43" s="16" t="s">
        <v>143</v>
      </c>
      <c r="E43" s="43">
        <v>46478</v>
      </c>
      <c r="F43" s="43">
        <v>46478</v>
      </c>
      <c r="G43" s="66">
        <v>46478</v>
      </c>
      <c r="H43" s="67">
        <v>8</v>
      </c>
      <c r="I43" s="45">
        <v>60000</v>
      </c>
      <c r="J43" s="68">
        <v>480000</v>
      </c>
      <c r="K43" s="44">
        <v>1</v>
      </c>
      <c r="L43" s="45">
        <v>50000</v>
      </c>
      <c r="M43" s="68">
        <v>50000</v>
      </c>
      <c r="N43" s="46">
        <v>0</v>
      </c>
      <c r="O43" s="46">
        <v>0</v>
      </c>
      <c r="P43" s="69">
        <v>20000</v>
      </c>
      <c r="Q43" s="70">
        <v>550000</v>
      </c>
      <c r="R43" s="71">
        <v>550000</v>
      </c>
      <c r="S43" s="72">
        <v>0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 spans="1:41" s="10" customFormat="1" ht="30" customHeight="1" x14ac:dyDescent="0.3">
      <c r="A44" s="9"/>
      <c r="B44" s="38" t="s">
        <v>118</v>
      </c>
      <c r="C44" s="38" t="s">
        <v>119</v>
      </c>
      <c r="D44" s="16" t="s">
        <v>143</v>
      </c>
      <c r="E44" s="43">
        <v>46844</v>
      </c>
      <c r="F44" s="43">
        <v>46844</v>
      </c>
      <c r="G44" s="66">
        <v>46844</v>
      </c>
      <c r="H44" s="67">
        <v>8</v>
      </c>
      <c r="I44" s="45">
        <v>60000</v>
      </c>
      <c r="J44" s="68">
        <v>480000</v>
      </c>
      <c r="K44" s="44">
        <v>1</v>
      </c>
      <c r="L44" s="45">
        <v>50000</v>
      </c>
      <c r="M44" s="68">
        <v>50000</v>
      </c>
      <c r="N44" s="46">
        <v>0</v>
      </c>
      <c r="O44" s="46">
        <v>0</v>
      </c>
      <c r="P44" s="69">
        <v>20000</v>
      </c>
      <c r="Q44" s="70">
        <v>550000</v>
      </c>
      <c r="R44" s="71">
        <v>550000</v>
      </c>
      <c r="S44" s="72">
        <v>0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 spans="1:41" s="10" customFormat="1" ht="30" customHeight="1" x14ac:dyDescent="0.3">
      <c r="A45" s="9"/>
      <c r="B45" s="38" t="s">
        <v>120</v>
      </c>
      <c r="C45" s="38" t="s">
        <v>121</v>
      </c>
      <c r="D45" s="16" t="s">
        <v>143</v>
      </c>
      <c r="E45" s="43">
        <v>47209</v>
      </c>
      <c r="F45" s="43">
        <v>47209</v>
      </c>
      <c r="G45" s="66">
        <v>47209</v>
      </c>
      <c r="H45" s="67">
        <v>8</v>
      </c>
      <c r="I45" s="45">
        <v>60000</v>
      </c>
      <c r="J45" s="68">
        <v>480000</v>
      </c>
      <c r="K45" s="44">
        <v>1</v>
      </c>
      <c r="L45" s="45">
        <v>50000</v>
      </c>
      <c r="M45" s="68">
        <v>50000</v>
      </c>
      <c r="N45" s="46">
        <v>0</v>
      </c>
      <c r="O45" s="46">
        <v>0</v>
      </c>
      <c r="P45" s="69">
        <v>20000</v>
      </c>
      <c r="Q45" s="70">
        <v>550000</v>
      </c>
      <c r="R45" s="71">
        <v>550000</v>
      </c>
      <c r="S45" s="72">
        <v>0</v>
      </c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 spans="1:41" s="10" customFormat="1" ht="30" customHeight="1" x14ac:dyDescent="0.3">
      <c r="A46" s="9"/>
      <c r="B46" s="38" t="s">
        <v>122</v>
      </c>
      <c r="C46" s="38" t="s">
        <v>123</v>
      </c>
      <c r="D46" s="16" t="s">
        <v>143</v>
      </c>
      <c r="E46" s="43">
        <v>47574</v>
      </c>
      <c r="F46" s="43">
        <v>47574</v>
      </c>
      <c r="G46" s="66">
        <v>47574</v>
      </c>
      <c r="H46" s="67">
        <v>8</v>
      </c>
      <c r="I46" s="45">
        <v>40000</v>
      </c>
      <c r="J46" s="68">
        <v>320000</v>
      </c>
      <c r="K46" s="44">
        <v>1</v>
      </c>
      <c r="L46" s="45">
        <v>50000</v>
      </c>
      <c r="M46" s="68">
        <v>50000</v>
      </c>
      <c r="N46" s="46">
        <v>0</v>
      </c>
      <c r="O46" s="46">
        <v>0</v>
      </c>
      <c r="P46" s="69">
        <v>20000</v>
      </c>
      <c r="Q46" s="70">
        <v>390000</v>
      </c>
      <c r="R46" s="71">
        <v>390000</v>
      </c>
      <c r="S46" s="72">
        <v>0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 spans="1:41" s="10" customFormat="1" ht="30" customHeight="1" x14ac:dyDescent="0.3">
      <c r="A47" s="9"/>
      <c r="B47" s="38" t="s">
        <v>124</v>
      </c>
      <c r="C47" s="38" t="s">
        <v>125</v>
      </c>
      <c r="D47" s="16" t="s">
        <v>31</v>
      </c>
      <c r="E47" s="43">
        <v>46027</v>
      </c>
      <c r="F47" s="43">
        <v>46027</v>
      </c>
      <c r="G47" s="66">
        <v>46027</v>
      </c>
      <c r="H47" s="67">
        <v>8</v>
      </c>
      <c r="I47" s="45">
        <v>60000</v>
      </c>
      <c r="J47" s="68">
        <v>480000</v>
      </c>
      <c r="K47" s="44">
        <v>1</v>
      </c>
      <c r="L47" s="45">
        <v>100000</v>
      </c>
      <c r="M47" s="68">
        <v>100000</v>
      </c>
      <c r="N47" s="46">
        <v>0</v>
      </c>
      <c r="O47" s="46">
        <v>300000</v>
      </c>
      <c r="P47" s="69">
        <v>50000</v>
      </c>
      <c r="Q47" s="70">
        <v>930000</v>
      </c>
      <c r="R47" s="71">
        <v>930000</v>
      </c>
      <c r="S47" s="72">
        <v>0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 spans="1:41" s="10" customFormat="1" ht="30" customHeight="1" x14ac:dyDescent="0.3">
      <c r="A48" s="9"/>
      <c r="B48" s="38" t="s">
        <v>126</v>
      </c>
      <c r="C48" s="38" t="s">
        <v>144</v>
      </c>
      <c r="D48" s="16" t="s">
        <v>31</v>
      </c>
      <c r="E48" s="43">
        <v>46058</v>
      </c>
      <c r="F48" s="43">
        <v>46058</v>
      </c>
      <c r="G48" s="66">
        <v>46058</v>
      </c>
      <c r="H48" s="67">
        <v>8</v>
      </c>
      <c r="I48" s="45">
        <v>70000</v>
      </c>
      <c r="J48" s="68">
        <v>560000</v>
      </c>
      <c r="K48" s="44">
        <v>1</v>
      </c>
      <c r="L48" s="45">
        <v>100000</v>
      </c>
      <c r="M48" s="68">
        <v>100000</v>
      </c>
      <c r="N48" s="46">
        <v>0</v>
      </c>
      <c r="O48" s="46">
        <v>300000</v>
      </c>
      <c r="P48" s="69">
        <v>50000</v>
      </c>
      <c r="Q48" s="70">
        <v>1010000</v>
      </c>
      <c r="R48" s="71">
        <v>1010000</v>
      </c>
      <c r="S48" s="72">
        <v>0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 spans="1:41" s="10" customFormat="1" ht="30" customHeight="1" x14ac:dyDescent="0.3">
      <c r="A49" s="9"/>
      <c r="B49" s="38" t="s">
        <v>127</v>
      </c>
      <c r="C49" s="38" t="s">
        <v>128</v>
      </c>
      <c r="D49" s="16" t="s">
        <v>31</v>
      </c>
      <c r="E49" s="43">
        <v>46086</v>
      </c>
      <c r="F49" s="43">
        <v>46086</v>
      </c>
      <c r="G49" s="66">
        <v>46086</v>
      </c>
      <c r="H49" s="67">
        <v>8</v>
      </c>
      <c r="I49" s="45">
        <v>40000</v>
      </c>
      <c r="J49" s="68">
        <v>320000</v>
      </c>
      <c r="K49" s="44">
        <v>1</v>
      </c>
      <c r="L49" s="45">
        <v>50000</v>
      </c>
      <c r="M49" s="68">
        <v>50000</v>
      </c>
      <c r="N49" s="46">
        <v>0</v>
      </c>
      <c r="O49" s="46">
        <v>0</v>
      </c>
      <c r="P49" s="69">
        <v>20000</v>
      </c>
      <c r="Q49" s="70">
        <v>390000</v>
      </c>
      <c r="R49" s="71">
        <v>390000</v>
      </c>
      <c r="S49" s="72">
        <v>0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 spans="1:41" s="10" customFormat="1" ht="30" customHeight="1" x14ac:dyDescent="0.3">
      <c r="A50" s="9"/>
      <c r="B50" s="38" t="s">
        <v>129</v>
      </c>
      <c r="C50" s="38" t="s">
        <v>130</v>
      </c>
      <c r="D50" s="16" t="s">
        <v>31</v>
      </c>
      <c r="E50" s="43">
        <v>46117</v>
      </c>
      <c r="F50" s="43">
        <v>46117</v>
      </c>
      <c r="G50" s="66">
        <v>46117</v>
      </c>
      <c r="H50" s="67">
        <v>8</v>
      </c>
      <c r="I50" s="45">
        <v>50000</v>
      </c>
      <c r="J50" s="68">
        <v>400000</v>
      </c>
      <c r="K50" s="44">
        <v>1</v>
      </c>
      <c r="L50" s="45">
        <v>50000</v>
      </c>
      <c r="M50" s="68">
        <v>50000</v>
      </c>
      <c r="N50" s="46">
        <v>0</v>
      </c>
      <c r="O50" s="46">
        <v>0</v>
      </c>
      <c r="P50" s="69">
        <v>20000</v>
      </c>
      <c r="Q50" s="70">
        <v>470000</v>
      </c>
      <c r="R50" s="71">
        <v>470000</v>
      </c>
      <c r="S50" s="72">
        <v>0</v>
      </c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 spans="1:41" s="10" customFormat="1" ht="30" customHeight="1" x14ac:dyDescent="0.3">
      <c r="A51" s="9"/>
      <c r="B51" s="38" t="s">
        <v>131</v>
      </c>
      <c r="C51" s="38" t="s">
        <v>132</v>
      </c>
      <c r="D51" s="16" t="s">
        <v>31</v>
      </c>
      <c r="E51" s="43">
        <v>46147</v>
      </c>
      <c r="F51" s="43">
        <v>46147</v>
      </c>
      <c r="G51" s="66">
        <v>46147</v>
      </c>
      <c r="H51" s="67">
        <v>8</v>
      </c>
      <c r="I51" s="45">
        <v>50000</v>
      </c>
      <c r="J51" s="68">
        <v>400000</v>
      </c>
      <c r="K51" s="44">
        <v>1</v>
      </c>
      <c r="L51" s="45">
        <v>50000</v>
      </c>
      <c r="M51" s="68">
        <v>50000</v>
      </c>
      <c r="N51" s="46">
        <v>0</v>
      </c>
      <c r="O51" s="46">
        <v>0</v>
      </c>
      <c r="P51" s="69">
        <v>20000</v>
      </c>
      <c r="Q51" s="70">
        <v>470000</v>
      </c>
      <c r="R51" s="71">
        <v>470000</v>
      </c>
      <c r="S51" s="72">
        <v>0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 spans="1:41" s="10" customFormat="1" ht="30" customHeight="1" x14ac:dyDescent="0.3">
      <c r="A52" s="9"/>
      <c r="B52" s="38" t="s">
        <v>133</v>
      </c>
      <c r="C52" s="38" t="s">
        <v>134</v>
      </c>
      <c r="D52" s="16" t="s">
        <v>31</v>
      </c>
      <c r="E52" s="43">
        <v>46178</v>
      </c>
      <c r="F52" s="43">
        <v>46178</v>
      </c>
      <c r="G52" s="66">
        <v>46178</v>
      </c>
      <c r="H52" s="67">
        <v>8</v>
      </c>
      <c r="I52" s="45">
        <v>50000</v>
      </c>
      <c r="J52" s="68">
        <v>400000</v>
      </c>
      <c r="K52" s="44">
        <v>1</v>
      </c>
      <c r="L52" s="45">
        <v>50000</v>
      </c>
      <c r="M52" s="68">
        <v>50000</v>
      </c>
      <c r="N52" s="46">
        <v>0</v>
      </c>
      <c r="O52" s="46">
        <v>0</v>
      </c>
      <c r="P52" s="69">
        <v>20000</v>
      </c>
      <c r="Q52" s="70">
        <v>470000</v>
      </c>
      <c r="R52" s="71">
        <v>470000</v>
      </c>
      <c r="S52" s="72">
        <v>0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spans="1:41" s="10" customFormat="1" ht="30" customHeight="1" x14ac:dyDescent="0.3">
      <c r="A53" s="9"/>
      <c r="B53" s="38" t="s">
        <v>135</v>
      </c>
      <c r="C53" s="38" t="s">
        <v>136</v>
      </c>
      <c r="D53" s="16" t="s">
        <v>31</v>
      </c>
      <c r="E53" s="43">
        <v>46208</v>
      </c>
      <c r="F53" s="43">
        <v>46208</v>
      </c>
      <c r="G53" s="66">
        <v>46208</v>
      </c>
      <c r="H53" s="67">
        <v>8</v>
      </c>
      <c r="I53" s="45">
        <v>50000</v>
      </c>
      <c r="J53" s="68">
        <v>400000</v>
      </c>
      <c r="K53" s="44">
        <v>1</v>
      </c>
      <c r="L53" s="45">
        <v>50000</v>
      </c>
      <c r="M53" s="68">
        <v>50000</v>
      </c>
      <c r="N53" s="46">
        <v>0</v>
      </c>
      <c r="O53" s="46">
        <v>0</v>
      </c>
      <c r="P53" s="69">
        <v>20000</v>
      </c>
      <c r="Q53" s="70">
        <v>470000</v>
      </c>
      <c r="R53" s="71">
        <v>470000</v>
      </c>
      <c r="S53" s="72">
        <v>0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 spans="1:41" s="10" customFormat="1" ht="30" customHeight="1" x14ac:dyDescent="0.3">
      <c r="A54" s="9"/>
      <c r="B54" s="38" t="s">
        <v>137</v>
      </c>
      <c r="C54" s="38" t="s">
        <v>138</v>
      </c>
      <c r="D54" s="16" t="s">
        <v>31</v>
      </c>
      <c r="E54" s="43">
        <v>46208</v>
      </c>
      <c r="F54" s="43">
        <v>46208</v>
      </c>
      <c r="G54" s="66">
        <v>46208</v>
      </c>
      <c r="H54" s="67">
        <v>8</v>
      </c>
      <c r="I54" s="45">
        <v>50000</v>
      </c>
      <c r="J54" s="68">
        <v>400000</v>
      </c>
      <c r="K54" s="44">
        <v>1</v>
      </c>
      <c r="L54" s="45">
        <v>50000</v>
      </c>
      <c r="M54" s="68">
        <v>50000</v>
      </c>
      <c r="N54" s="46">
        <v>0</v>
      </c>
      <c r="O54" s="46">
        <v>0</v>
      </c>
      <c r="P54" s="69">
        <v>20000</v>
      </c>
      <c r="Q54" s="70">
        <v>470000</v>
      </c>
      <c r="R54" s="71">
        <v>470000</v>
      </c>
      <c r="S54" s="72">
        <v>0</v>
      </c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 spans="1:41" s="10" customFormat="1" ht="30" customHeight="1" x14ac:dyDescent="0.3">
      <c r="A55" s="9"/>
      <c r="B55" s="38" t="s">
        <v>139</v>
      </c>
      <c r="C55" s="38" t="s">
        <v>140</v>
      </c>
      <c r="D55" s="16" t="s">
        <v>31</v>
      </c>
      <c r="E55" s="43">
        <v>46239</v>
      </c>
      <c r="F55" s="43">
        <v>46239</v>
      </c>
      <c r="G55" s="66">
        <v>46239</v>
      </c>
      <c r="H55" s="67">
        <v>8</v>
      </c>
      <c r="I55" s="45">
        <v>50000</v>
      </c>
      <c r="J55" s="68">
        <v>400000</v>
      </c>
      <c r="K55" s="44">
        <v>1</v>
      </c>
      <c r="L55" s="45">
        <v>50000</v>
      </c>
      <c r="M55" s="68">
        <v>50000</v>
      </c>
      <c r="N55" s="46">
        <v>0</v>
      </c>
      <c r="O55" s="46">
        <v>0</v>
      </c>
      <c r="P55" s="69">
        <v>20000</v>
      </c>
      <c r="Q55" s="70">
        <v>470000</v>
      </c>
      <c r="R55" s="71">
        <v>470000</v>
      </c>
      <c r="S55" s="72">
        <v>0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spans="1:41" s="10" customFormat="1" ht="30" customHeight="1" x14ac:dyDescent="0.3">
      <c r="A56" s="9"/>
      <c r="B56" s="38" t="s">
        <v>141</v>
      </c>
      <c r="C56" s="38" t="s">
        <v>142</v>
      </c>
      <c r="D56" s="16" t="s">
        <v>31</v>
      </c>
      <c r="E56" s="43">
        <v>46239</v>
      </c>
      <c r="F56" s="43">
        <v>46239</v>
      </c>
      <c r="G56" s="66">
        <v>46239</v>
      </c>
      <c r="H56" s="67">
        <v>8</v>
      </c>
      <c r="I56" s="45">
        <v>50000</v>
      </c>
      <c r="J56" s="68">
        <v>400000</v>
      </c>
      <c r="K56" s="44">
        <v>1</v>
      </c>
      <c r="L56" s="45">
        <v>50000</v>
      </c>
      <c r="M56" s="68">
        <v>50000</v>
      </c>
      <c r="N56" s="46">
        <v>0</v>
      </c>
      <c r="O56" s="46">
        <v>0</v>
      </c>
      <c r="P56" s="69">
        <v>20000</v>
      </c>
      <c r="Q56" s="70">
        <v>470000</v>
      </c>
      <c r="R56" s="71">
        <v>470000</v>
      </c>
      <c r="S56" s="72">
        <v>0</v>
      </c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spans="1:41" s="10" customFormat="1" ht="30" customHeight="1" x14ac:dyDescent="0.3">
      <c r="A57" s="9"/>
      <c r="B57" s="21" t="s">
        <v>0</v>
      </c>
      <c r="C57" s="21"/>
      <c r="D57" s="39"/>
      <c r="E57" s="22"/>
      <c r="F57" s="22"/>
      <c r="G57" s="58"/>
      <c r="H57" s="50"/>
      <c r="I57" s="40"/>
      <c r="J57" s="42">
        <f t="shared" ref="J57" si="0">SUM(J5:J56)</f>
        <v>42880000</v>
      </c>
      <c r="K57" s="42"/>
      <c r="L57" s="42"/>
      <c r="M57" s="42">
        <f>SUM(M5:M56)</f>
        <v>3170000</v>
      </c>
      <c r="N57" s="42">
        <f>SUM(N5:N56)</f>
        <v>0</v>
      </c>
      <c r="O57" s="42">
        <f>SUM(O5:O56)</f>
        <v>1800000</v>
      </c>
      <c r="P57" s="48">
        <f>SUM(P5:P56)</f>
        <v>1270000</v>
      </c>
      <c r="Q57" s="55">
        <f>SUM(Q5:Q56)</f>
        <v>49120000</v>
      </c>
      <c r="R57" s="52">
        <f>SUM(J57:P57)</f>
        <v>49120000</v>
      </c>
      <c r="S57" s="52">
        <f>R57-Q57</f>
        <v>0</v>
      </c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 spans="1:41" s="10" customFormat="1" ht="11.1" customHeight="1" x14ac:dyDescent="0.3">
      <c r="A58" s="9"/>
      <c r="B58" s="11"/>
      <c r="C58" s="11"/>
      <c r="D58" s="11"/>
      <c r="E58" s="11"/>
      <c r="F58" s="11"/>
      <c r="G58" s="11"/>
      <c r="H58" s="12"/>
      <c r="I58" s="13"/>
      <c r="J58" s="13"/>
      <c r="K58" s="12"/>
      <c r="L58" s="13"/>
      <c r="M58" s="13"/>
      <c r="N58" s="12"/>
      <c r="O58" s="12"/>
      <c r="P58" s="13"/>
      <c r="Q58" s="14"/>
      <c r="R58" s="13"/>
      <c r="S58" s="15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 spans="1:41" s="10" customFormat="1" ht="35.1" customHeight="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41" s="10" customFormat="1" ht="35.1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41" s="10" customFormat="1" ht="30" customHeigh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41" s="10" customFormat="1" ht="30" customHeigh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41" s="10" customFormat="1" ht="30" customHeigh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41" s="10" customFormat="1" ht="30" customHeigh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41" s="10" customFormat="1" ht="30" customHeigh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41" s="10" customFormat="1" ht="30" customHeigh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41" s="10" customFormat="1" ht="30" customHeigh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41" s="10" customFormat="1" ht="30" customHeigh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41" s="10" customFormat="1" ht="30" customHeigh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41" s="10" customFormat="1" ht="30" customHeigh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41" s="10" customFormat="1" ht="30" customHeigh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41" s="4" customFormat="1" ht="21" customHeight="1" x14ac:dyDescent="0.25">
      <c r="B72" s="6"/>
      <c r="C72" s="6"/>
      <c r="D72" s="6"/>
      <c r="E72" s="6"/>
      <c r="F72" s="6"/>
      <c r="G72" s="6"/>
      <c r="H72" s="1"/>
      <c r="I72" s="2"/>
      <c r="J72" s="2"/>
      <c r="K72" s="1"/>
      <c r="L72" s="2"/>
      <c r="M72" s="2"/>
      <c r="N72" s="1"/>
      <c r="O72" s="1"/>
      <c r="P72" s="2"/>
      <c r="Q72" s="7"/>
      <c r="R72" s="2"/>
      <c r="S72" s="3"/>
    </row>
    <row r="73" spans="1:4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pans="1:4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pans="1:4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pans="1:4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pans="1:4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pans="1:4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pans="1:4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pans="1:4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pans="1:4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pans="1:4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pans="1:4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spans="1:4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pans="1:4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spans="1:4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spans="1:4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spans="1:4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spans="1:4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spans="1:4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spans="1:4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spans="1:4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spans="1:4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pans="1:4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spans="1:4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spans="1:4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spans="1:4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spans="1:4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spans="1:4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spans="1:4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spans="1:4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spans="1:4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spans="1:4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spans="1:4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spans="1:4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spans="1:4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spans="1:4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spans="1:4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spans="1:4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spans="1:4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spans="1:4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spans="1:4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spans="1:4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  <row r="115" spans="1:4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spans="1:4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</row>
    <row r="117" spans="1:4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spans="1:4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4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4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4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4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4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4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4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4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4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4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:2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:2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:2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:2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:2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:2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:2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:2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:2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:2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:2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:2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:2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</sheetData>
  <mergeCells count="4">
    <mergeCell ref="H2:J2"/>
    <mergeCell ref="K2:M2"/>
    <mergeCell ref="N2:P2"/>
    <mergeCell ref="Q2:S2"/>
  </mergeCells>
  <conditionalFormatting sqref="D4:D56">
    <cfRule type="containsText" dxfId="26" priority="24" operator="containsText" text="Approved">
      <formula>NOT(ISERROR(SEARCH("Approved",D4)))</formula>
    </cfRule>
    <cfRule type="containsText" dxfId="25" priority="25" operator="containsText" text="Needs Review">
      <formula>NOT(ISERROR(SEARCH("Needs Review",D4)))</formula>
    </cfRule>
    <cfRule type="containsText" dxfId="24" priority="26" operator="containsText" text="Not Started">
      <formula>NOT(ISERROR(SEARCH("Not Started",D4)))</formula>
    </cfRule>
    <cfRule type="containsText" dxfId="23" priority="27" operator="containsText" text="On Hold">
      <formula>NOT(ISERROR(SEARCH("On Hold",D4)))</formula>
    </cfRule>
    <cfRule type="containsText" dxfId="22" priority="28" operator="containsText" text="Overdue">
      <formula>NOT(ISERROR(SEARCH("Overdue",D4)))</formula>
    </cfRule>
    <cfRule type="containsText" dxfId="21" priority="29" operator="containsText" text="Complete">
      <formula>NOT(ISERROR(SEARCH("Complete",D4)))</formula>
    </cfRule>
    <cfRule type="containsText" dxfId="20" priority="30" operator="containsText" text="In Progress">
      <formula>NOT(ISERROR(SEARCH("In Progress",D4)))</formula>
    </cfRule>
  </conditionalFormatting>
  <conditionalFormatting sqref="D5:D56">
    <cfRule type="cellIs" dxfId="19" priority="16" operator="equal">
      <formula>"No Iniciado"</formula>
    </cfRule>
    <cfRule type="cellIs" dxfId="18" priority="17" operator="equal">
      <formula>"Aprobado"</formula>
    </cfRule>
    <cfRule type="cellIs" dxfId="17" priority="18" operator="equal">
      <formula>"En Espera"</formula>
    </cfRule>
    <cfRule type="cellIs" dxfId="16" priority="19" operator="equal">
      <formula>"Atrasado"</formula>
    </cfRule>
    <cfRule type="cellIs" dxfId="15" priority="20" operator="equal">
      <formula>"Aprovado"</formula>
    </cfRule>
    <cfRule type="cellIs" dxfId="14" priority="21" operator="equal">
      <formula>"Requiere Revisión"</formula>
    </cfRule>
    <cfRule type="cellIs" dxfId="13" priority="22" operator="equal">
      <formula>"En Progreso"</formula>
    </cfRule>
    <cfRule type="cellIs" dxfId="12" priority="23" operator="equal">
      <formula>"Completo"</formula>
    </cfRule>
  </conditionalFormatting>
  <conditionalFormatting sqref="S5:S57">
    <cfRule type="cellIs" dxfId="11" priority="44" operator="lessThan">
      <formula>0</formula>
    </cfRule>
    <cfRule type="cellIs" dxfId="10" priority="45" operator="greaterThan">
      <formula>0</formula>
    </cfRule>
  </conditionalFormatting>
  <conditionalFormatting sqref="S58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72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3" right="0.3" top="0.3" bottom="0.3" header="0" footer="0"/>
  <pageSetup scale="63" fitToHeight="0" orientation="landscape" horizontalDpi="4294967292" verticalDpi="4294967292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314EDA-12D6-2749-B3F6-EF76459AD42E}">
          <x14:formula1>
            <xm:f>'listas desplegables'!$F$3:$F$11</xm:f>
          </x14:formula1>
          <xm:sqref>D4:D56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F1A8-FE55-D44A-A80C-197932E0CA85}">
  <sheetPr>
    <tabColor theme="0" tint="-0.249977111117893"/>
  </sheetPr>
  <dimension ref="A1:AF61"/>
  <sheetViews>
    <sheetView showGridLines="0" workbookViewId="0">
      <selection activeCell="I3" sqref="I3"/>
    </sheetView>
  </sheetViews>
  <sheetFormatPr baseColWidth="10" defaultRowHeight="15.6" x14ac:dyDescent="0.3"/>
  <cols>
    <col min="1" max="1" width="3.3984375" style="10" customWidth="1"/>
    <col min="2" max="2" width="10.8984375" style="10"/>
    <col min="3" max="3" width="3.3984375" style="10" customWidth="1"/>
    <col min="5" max="5" width="3.3984375" style="10" customWidth="1"/>
    <col min="6" max="6" width="12.8984375" customWidth="1"/>
    <col min="7" max="7" width="3.3984375" style="10" customWidth="1"/>
  </cols>
  <sheetData>
    <row r="1" spans="1:32" s="10" customFormat="1" ht="42" customHeight="1" thickBot="1" x14ac:dyDescent="0.35">
      <c r="B1" s="34" t="s">
        <v>38</v>
      </c>
      <c r="C1" s="8"/>
      <c r="D1" s="8"/>
      <c r="E1" s="8"/>
      <c r="F1" s="8"/>
      <c r="G1" s="8"/>
      <c r="H1" s="8"/>
      <c r="I1" s="8"/>
      <c r="J1" s="8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24.9" customHeight="1" thickTop="1" x14ac:dyDescent="0.3">
      <c r="A2" s="9"/>
      <c r="B2" s="33" t="s">
        <v>26</v>
      </c>
      <c r="C2" s="9"/>
      <c r="D2" s="33" t="s">
        <v>39</v>
      </c>
      <c r="E2" s="9"/>
      <c r="F2" s="33" t="s">
        <v>10</v>
      </c>
      <c r="G2" s="9"/>
    </row>
    <row r="3" spans="1:32" ht="35.1" customHeight="1" x14ac:dyDescent="0.3">
      <c r="A3" s="9"/>
      <c r="B3" s="32" t="s">
        <v>27</v>
      </c>
      <c r="C3" s="9"/>
      <c r="D3" s="31" t="s">
        <v>28</v>
      </c>
      <c r="E3" s="9"/>
      <c r="F3" s="73" t="s">
        <v>31</v>
      </c>
      <c r="G3" s="9"/>
    </row>
    <row r="4" spans="1:32" ht="35.1" customHeight="1" x14ac:dyDescent="0.3">
      <c r="A4" s="9"/>
      <c r="B4" s="30" t="s">
        <v>1</v>
      </c>
      <c r="C4" s="9"/>
      <c r="D4" s="29" t="s">
        <v>29</v>
      </c>
      <c r="E4" s="9"/>
      <c r="F4" s="74" t="s">
        <v>32</v>
      </c>
      <c r="G4" s="9"/>
    </row>
    <row r="5" spans="1:32" ht="35.1" customHeight="1" x14ac:dyDescent="0.3">
      <c r="A5" s="9"/>
      <c r="C5" s="9"/>
      <c r="D5" s="28" t="s">
        <v>30</v>
      </c>
      <c r="E5" s="9"/>
      <c r="F5" s="75" t="s">
        <v>33</v>
      </c>
      <c r="G5" s="9"/>
    </row>
    <row r="6" spans="1:32" ht="35.1" customHeight="1" x14ac:dyDescent="0.3">
      <c r="A6" s="9"/>
      <c r="C6" s="9"/>
      <c r="D6" s="24"/>
      <c r="E6" s="9"/>
      <c r="F6" s="27" t="s">
        <v>36</v>
      </c>
      <c r="G6" s="9"/>
    </row>
    <row r="7" spans="1:32" ht="35.1" customHeight="1" x14ac:dyDescent="0.3">
      <c r="A7" s="9"/>
      <c r="C7" s="9"/>
      <c r="D7" s="24"/>
      <c r="E7" s="9"/>
      <c r="F7" s="26" t="s">
        <v>34</v>
      </c>
      <c r="G7" s="9"/>
    </row>
    <row r="8" spans="1:32" ht="35.1" customHeight="1" x14ac:dyDescent="0.3">
      <c r="A8" s="9"/>
      <c r="C8" s="9"/>
      <c r="E8" s="9"/>
      <c r="F8" s="18" t="s">
        <v>35</v>
      </c>
      <c r="G8" s="9"/>
    </row>
    <row r="9" spans="1:32" ht="35.1" customHeight="1" x14ac:dyDescent="0.3">
      <c r="A9" s="9"/>
      <c r="B9" s="9"/>
      <c r="C9" s="9"/>
      <c r="E9" s="9"/>
      <c r="F9" s="25" t="s">
        <v>37</v>
      </c>
      <c r="G9" s="9"/>
    </row>
    <row r="10" spans="1:32" ht="35.1" customHeight="1" x14ac:dyDescent="0.3">
      <c r="A10" s="9"/>
      <c r="B10" s="9"/>
      <c r="C10" s="9"/>
      <c r="D10" s="24"/>
      <c r="E10" s="9"/>
      <c r="F10" s="17"/>
      <c r="G10" s="9"/>
    </row>
    <row r="11" spans="1:32" ht="35.1" customHeight="1" x14ac:dyDescent="0.3">
      <c r="A11" s="9"/>
      <c r="B11" s="9"/>
      <c r="C11" s="9"/>
      <c r="D11" s="24"/>
      <c r="E11" s="9"/>
      <c r="F11" s="17"/>
      <c r="G11" s="9"/>
    </row>
    <row r="12" spans="1:32" x14ac:dyDescent="0.3">
      <c r="A12" s="9"/>
      <c r="B12" s="9"/>
      <c r="C12" s="9"/>
      <c r="D12" s="24"/>
      <c r="E12" s="9"/>
      <c r="F12" s="24"/>
      <c r="G12" s="9"/>
    </row>
    <row r="13" spans="1:32" x14ac:dyDescent="0.3">
      <c r="A13" s="9"/>
      <c r="B13" s="9"/>
      <c r="C13" s="9"/>
      <c r="D13" s="24"/>
      <c r="E13" s="9"/>
      <c r="F13" s="24"/>
      <c r="G13" s="9"/>
    </row>
    <row r="14" spans="1:32" x14ac:dyDescent="0.3">
      <c r="A14" s="9"/>
      <c r="B14" s="9"/>
      <c r="C14" s="9"/>
      <c r="D14" s="24"/>
      <c r="E14" s="9"/>
      <c r="F14" s="24"/>
      <c r="G14" s="9"/>
    </row>
    <row r="15" spans="1:32" x14ac:dyDescent="0.3">
      <c r="A15" s="9"/>
      <c r="B15" s="9"/>
      <c r="C15" s="9"/>
      <c r="D15" s="24"/>
      <c r="E15" s="9"/>
      <c r="F15" s="24"/>
      <c r="G15" s="9"/>
    </row>
    <row r="16" spans="1:32" x14ac:dyDescent="0.3">
      <c r="A16" s="9"/>
      <c r="B16" s="9"/>
      <c r="C16" s="9"/>
      <c r="D16" s="24"/>
      <c r="E16" s="9"/>
      <c r="F16" s="24"/>
      <c r="G16" s="9"/>
    </row>
    <row r="17" spans="1:7" x14ac:dyDescent="0.3">
      <c r="A17" s="9"/>
      <c r="B17" s="9"/>
      <c r="C17" s="9"/>
      <c r="D17" s="24"/>
      <c r="E17" s="9"/>
      <c r="G17" s="9"/>
    </row>
    <row r="18" spans="1:7" x14ac:dyDescent="0.3">
      <c r="A18" s="9"/>
      <c r="B18" s="9"/>
      <c r="C18" s="9"/>
      <c r="D18" s="24"/>
      <c r="E18" s="9"/>
      <c r="G18" s="9"/>
    </row>
    <row r="19" spans="1:7" x14ac:dyDescent="0.3">
      <c r="A19" s="9"/>
      <c r="B19" s="9"/>
      <c r="C19" s="9"/>
      <c r="D19" s="24"/>
      <c r="E19" s="9"/>
      <c r="G19" s="9"/>
    </row>
    <row r="20" spans="1:7" x14ac:dyDescent="0.3">
      <c r="A20" s="9"/>
      <c r="B20" s="9"/>
      <c r="C20" s="9"/>
      <c r="D20" s="24"/>
      <c r="E20" s="9"/>
      <c r="G20" s="9"/>
    </row>
    <row r="21" spans="1:7" x14ac:dyDescent="0.3">
      <c r="A21" s="9"/>
      <c r="B21" s="9"/>
      <c r="C21" s="9"/>
      <c r="D21" s="24"/>
      <c r="E21" s="9"/>
      <c r="G21" s="9"/>
    </row>
    <row r="22" spans="1:7" x14ac:dyDescent="0.3">
      <c r="A22" s="9"/>
      <c r="B22" s="9"/>
      <c r="C22" s="9"/>
      <c r="D22" s="24"/>
      <c r="E22" s="9"/>
      <c r="G22" s="9"/>
    </row>
    <row r="23" spans="1:7" x14ac:dyDescent="0.3">
      <c r="A23" s="9"/>
      <c r="B23" s="9"/>
      <c r="C23" s="9"/>
      <c r="D23" s="24"/>
      <c r="E23" s="9"/>
      <c r="G23" s="9"/>
    </row>
    <row r="24" spans="1:7" x14ac:dyDescent="0.3">
      <c r="A24" s="9"/>
      <c r="B24" s="9"/>
      <c r="C24" s="9"/>
      <c r="D24" s="24"/>
      <c r="E24" s="9"/>
      <c r="G24" s="9"/>
    </row>
    <row r="25" spans="1:7" x14ac:dyDescent="0.3">
      <c r="A25" s="9"/>
      <c r="B25" s="9"/>
      <c r="C25" s="9"/>
      <c r="D25" s="24"/>
      <c r="E25" s="9"/>
      <c r="G25" s="9"/>
    </row>
    <row r="26" spans="1:7" x14ac:dyDescent="0.3">
      <c r="A26" s="9"/>
      <c r="B26" s="9"/>
      <c r="C26" s="9"/>
      <c r="D26" s="24"/>
      <c r="E26" s="9"/>
      <c r="G26" s="9"/>
    </row>
    <row r="27" spans="1:7" x14ac:dyDescent="0.3">
      <c r="A27" s="9"/>
      <c r="B27" s="9"/>
      <c r="C27" s="9"/>
      <c r="D27" s="24"/>
      <c r="E27" s="9"/>
      <c r="G27" s="9"/>
    </row>
    <row r="28" spans="1:7" x14ac:dyDescent="0.3">
      <c r="A28" s="9"/>
      <c r="B28" s="9"/>
      <c r="C28" s="9"/>
      <c r="D28" s="24"/>
      <c r="E28" s="9"/>
      <c r="G28" s="9"/>
    </row>
    <row r="29" spans="1:7" x14ac:dyDescent="0.3">
      <c r="A29" s="9"/>
      <c r="B29" s="9"/>
      <c r="C29" s="9"/>
      <c r="D29" s="24"/>
      <c r="E29" s="9"/>
      <c r="G29" s="9"/>
    </row>
    <row r="30" spans="1:7" x14ac:dyDescent="0.3">
      <c r="A30" s="9"/>
      <c r="B30" s="9"/>
      <c r="C30" s="9"/>
      <c r="D30" s="24"/>
      <c r="E30" s="9"/>
      <c r="G30" s="9"/>
    </row>
    <row r="31" spans="1:7" x14ac:dyDescent="0.3">
      <c r="A31" s="9"/>
      <c r="B31" s="9"/>
      <c r="C31" s="9"/>
      <c r="D31" s="24"/>
      <c r="E31" s="9"/>
      <c r="G31" s="9"/>
    </row>
    <row r="32" spans="1:7" x14ac:dyDescent="0.3">
      <c r="A32"/>
      <c r="B32"/>
      <c r="C32"/>
      <c r="D32" s="24"/>
      <c r="E32"/>
      <c r="G32"/>
    </row>
    <row r="33" spans="1:7" x14ac:dyDescent="0.3">
      <c r="A33" s="9"/>
      <c r="B33" s="9"/>
      <c r="C33" s="9"/>
      <c r="E33" s="9"/>
      <c r="G33" s="9"/>
    </row>
    <row r="34" spans="1:7" x14ac:dyDescent="0.3">
      <c r="A34" s="9"/>
      <c r="B34" s="9"/>
      <c r="C34" s="9"/>
      <c r="E34" s="9"/>
      <c r="G34" s="9"/>
    </row>
    <row r="35" spans="1:7" x14ac:dyDescent="0.3">
      <c r="A35" s="9"/>
      <c r="B35" s="9"/>
      <c r="C35" s="9"/>
      <c r="E35" s="9"/>
      <c r="G35" s="9"/>
    </row>
    <row r="36" spans="1:7" x14ac:dyDescent="0.3">
      <c r="A36" s="9"/>
      <c r="B36" s="9"/>
      <c r="C36" s="9"/>
      <c r="E36" s="9"/>
      <c r="G36" s="9"/>
    </row>
    <row r="37" spans="1:7" x14ac:dyDescent="0.3">
      <c r="A37" s="9"/>
      <c r="B37" s="9"/>
      <c r="C37" s="9"/>
      <c r="E37" s="9"/>
      <c r="G37" s="9"/>
    </row>
    <row r="38" spans="1:7" x14ac:dyDescent="0.3">
      <c r="A38" s="9"/>
      <c r="B38" s="9"/>
      <c r="C38" s="9"/>
      <c r="E38" s="9"/>
      <c r="G38" s="9"/>
    </row>
    <row r="39" spans="1:7" x14ac:dyDescent="0.3">
      <c r="A39" s="9"/>
      <c r="B39" s="9"/>
      <c r="C39" s="9"/>
      <c r="E39" s="9"/>
      <c r="G39" s="9"/>
    </row>
    <row r="40" spans="1:7" x14ac:dyDescent="0.3">
      <c r="A40" s="9"/>
      <c r="B40" s="9"/>
      <c r="C40" s="9"/>
      <c r="E40" s="9"/>
      <c r="G40" s="9"/>
    </row>
    <row r="41" spans="1:7" x14ac:dyDescent="0.3">
      <c r="A41" s="9"/>
      <c r="B41" s="9"/>
      <c r="C41" s="9"/>
      <c r="E41" s="9"/>
      <c r="G41" s="9"/>
    </row>
    <row r="42" spans="1:7" x14ac:dyDescent="0.3">
      <c r="A42" s="9"/>
      <c r="B42" s="9"/>
      <c r="C42" s="9"/>
      <c r="E42" s="9"/>
      <c r="G42" s="9"/>
    </row>
    <row r="43" spans="1:7" x14ac:dyDescent="0.3">
      <c r="A43" s="9"/>
      <c r="B43" s="9"/>
      <c r="C43" s="9"/>
      <c r="E43" s="9"/>
      <c r="G43" s="9"/>
    </row>
    <row r="44" spans="1:7" x14ac:dyDescent="0.3">
      <c r="A44" s="9"/>
      <c r="B44" s="9"/>
      <c r="C44" s="9"/>
      <c r="E44" s="9"/>
      <c r="G44" s="9"/>
    </row>
    <row r="45" spans="1:7" x14ac:dyDescent="0.3">
      <c r="A45" s="9"/>
      <c r="B45" s="9"/>
      <c r="C45" s="9"/>
      <c r="E45" s="9"/>
      <c r="G45" s="9"/>
    </row>
    <row r="46" spans="1:7" x14ac:dyDescent="0.3">
      <c r="A46" s="9"/>
      <c r="B46" s="9"/>
      <c r="C46" s="9"/>
      <c r="E46" s="9"/>
      <c r="G46" s="9"/>
    </row>
    <row r="47" spans="1:7" x14ac:dyDescent="0.3">
      <c r="A47" s="9"/>
      <c r="B47" s="9"/>
      <c r="C47" s="9"/>
      <c r="E47" s="9"/>
      <c r="G47" s="9"/>
    </row>
    <row r="48" spans="1:7" x14ac:dyDescent="0.3">
      <c r="A48" s="9"/>
      <c r="B48" s="9"/>
      <c r="C48" s="9"/>
      <c r="E48" s="9"/>
      <c r="G48" s="9"/>
    </row>
    <row r="49" spans="1:7" x14ac:dyDescent="0.3">
      <c r="A49" s="9"/>
      <c r="B49" s="9"/>
      <c r="C49" s="9"/>
      <c r="E49" s="9"/>
      <c r="G49" s="9"/>
    </row>
    <row r="50" spans="1:7" x14ac:dyDescent="0.3">
      <c r="A50" s="9"/>
      <c r="B50" s="9"/>
      <c r="C50" s="9"/>
      <c r="E50" s="9"/>
      <c r="G50" s="9"/>
    </row>
    <row r="51" spans="1:7" x14ac:dyDescent="0.3">
      <c r="A51" s="9"/>
      <c r="B51" s="9"/>
      <c r="C51" s="9"/>
      <c r="E51" s="9"/>
      <c r="G51" s="9"/>
    </row>
    <row r="52" spans="1:7" x14ac:dyDescent="0.3">
      <c r="A52" s="9"/>
      <c r="B52" s="9"/>
      <c r="C52" s="9"/>
      <c r="E52" s="9"/>
      <c r="G52" s="9"/>
    </row>
    <row r="53" spans="1:7" x14ac:dyDescent="0.3">
      <c r="A53" s="9"/>
      <c r="B53" s="9"/>
      <c r="C53" s="9"/>
      <c r="E53" s="9"/>
      <c r="G53" s="9"/>
    </row>
    <row r="54" spans="1:7" x14ac:dyDescent="0.3">
      <c r="A54" s="9"/>
      <c r="B54" s="9"/>
      <c r="C54" s="9"/>
      <c r="E54" s="9"/>
      <c r="G54" s="9"/>
    </row>
    <row r="55" spans="1:7" x14ac:dyDescent="0.3">
      <c r="A55" s="9"/>
      <c r="B55" s="9"/>
      <c r="C55" s="9"/>
      <c r="E55" s="9"/>
      <c r="G55" s="9"/>
    </row>
    <row r="56" spans="1:7" x14ac:dyDescent="0.3">
      <c r="A56" s="9"/>
      <c r="B56" s="9"/>
      <c r="C56" s="9"/>
      <c r="E56" s="9"/>
      <c r="G56" s="9"/>
    </row>
    <row r="57" spans="1:7" x14ac:dyDescent="0.3">
      <c r="A57" s="9"/>
      <c r="B57" s="9"/>
      <c r="C57" s="9"/>
      <c r="E57" s="9"/>
      <c r="G57" s="9"/>
    </row>
    <row r="58" spans="1:7" x14ac:dyDescent="0.3">
      <c r="A58" s="9"/>
      <c r="B58" s="9"/>
      <c r="C58" s="9"/>
      <c r="E58" s="9"/>
      <c r="G58" s="9"/>
    </row>
    <row r="59" spans="1:7" x14ac:dyDescent="0.3">
      <c r="A59" s="9"/>
      <c r="B59" s="9"/>
      <c r="C59" s="9"/>
      <c r="E59" s="9"/>
      <c r="G59" s="9"/>
    </row>
    <row r="60" spans="1:7" x14ac:dyDescent="0.3">
      <c r="A60" s="9"/>
      <c r="B60" s="9"/>
      <c r="C60" s="9"/>
      <c r="E60" s="9"/>
      <c r="G60" s="9"/>
    </row>
    <row r="61" spans="1:7" x14ac:dyDescent="0.3">
      <c r="A61" s="9"/>
      <c r="B61" s="9"/>
      <c r="C61" s="9"/>
      <c r="E61" s="9"/>
      <c r="G61" s="9"/>
    </row>
  </sheetData>
  <conditionalFormatting sqref="D3:D5">
    <cfRule type="containsText" dxfId="9" priority="9" operator="containsText" text="Low">
      <formula>NOT(ISERROR(SEARCH("Low",D3)))</formula>
    </cfRule>
    <cfRule type="containsText" dxfId="8" priority="10" operator="containsText" text="Medium">
      <formula>NOT(ISERROR(SEARCH("Medium",D3)))</formula>
    </cfRule>
    <cfRule type="containsText" dxfId="7" priority="11" operator="containsText" text="High">
      <formula>NOT(ISERROR(SEARCH("High",D3)))</formula>
    </cfRule>
  </conditionalFormatting>
  <conditionalFormatting sqref="F3:F11">
    <cfRule type="containsText" dxfId="6" priority="8" operator="containsText" text="Approved">
      <formula>NOT(ISERROR(SEARCH("Approved",F3)))</formula>
    </cfRule>
    <cfRule type="containsText" dxfId="5" priority="12" operator="containsText" text="Needs Review">
      <formula>NOT(ISERROR(SEARCH("Needs Review",F3)))</formula>
    </cfRule>
    <cfRule type="containsText" dxfId="4" priority="13" operator="containsText" text="Not Started">
      <formula>NOT(ISERROR(SEARCH("Not Started",F3)))</formula>
    </cfRule>
    <cfRule type="containsText" dxfId="3" priority="14" operator="containsText" text="On Hold">
      <formula>NOT(ISERROR(SEARCH("On Hold",F3)))</formula>
    </cfRule>
    <cfRule type="containsText" dxfId="2" priority="15" operator="containsText" text="Overdue">
      <formula>NOT(ISERROR(SEARCH("Overdue",F3)))</formula>
    </cfRule>
    <cfRule type="containsText" dxfId="1" priority="16" operator="containsText" text="Complete">
      <formula>NOT(ISERROR(SEARCH("Complete",F3)))</formula>
    </cfRule>
    <cfRule type="containsText" dxfId="0" priority="17" operator="containsText" text="In Progress">
      <formula>NOT(ISERROR(SEARCH("In Progress",F3)))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Presupuesto del proyecto</vt:lpstr>
      <vt:lpstr>listas desplegables</vt:lpstr>
      <vt:lpstr>'Presupuesto del proyecto'!Área_de_impresión</vt:lpstr>
      <vt:lpstr>Status</vt:lpstr>
      <vt:lpstr>YesNo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NICOLAS  MORENO ACOSTA</cp:lastModifiedBy>
  <cp:lastPrinted>2022-01-31T23:51:04Z</cp:lastPrinted>
  <dcterms:created xsi:type="dcterms:W3CDTF">2015-08-28T20:34:30Z</dcterms:created>
  <dcterms:modified xsi:type="dcterms:W3CDTF">2026-05-02T14:46:08Z</dcterms:modified>
</cp:coreProperties>
</file>