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nicol\Desktop\"/>
    </mc:Choice>
  </mc:AlternateContent>
  <xr:revisionPtr revIDLastSave="0" documentId="13_ncr:1_{58CBAAA2-176A-43F0-A89A-3023F86F79C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xample - Project Plan Template" sheetId="1" r:id="rId1"/>
    <sheet name="Hoja1" sheetId="2" state="hidden" r:id="rId2"/>
  </sheets>
  <definedNames>
    <definedName name="_xlnm.Print_Area" localSheetId="0">'Example - Project Plan Template'!$B$1:$I$85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77" i="2" l="1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H75" i="1"/>
  <c r="H76" i="1"/>
  <c r="H77" i="1"/>
  <c r="H78" i="1"/>
  <c r="H79" i="1"/>
  <c r="H80" i="1"/>
  <c r="H81" i="1"/>
  <c r="H82" i="1"/>
  <c r="H83" i="1"/>
  <c r="H74" i="1"/>
  <c r="H71" i="1"/>
  <c r="H61" i="1"/>
  <c r="H62" i="1"/>
  <c r="H63" i="1"/>
  <c r="H64" i="1"/>
  <c r="H65" i="1"/>
  <c r="H66" i="1"/>
  <c r="H67" i="1"/>
  <c r="H68" i="1"/>
  <c r="H69" i="1"/>
  <c r="H70" i="1"/>
  <c r="H72" i="1"/>
  <c r="H51" i="1"/>
  <c r="H52" i="1"/>
  <c r="H53" i="1"/>
  <c r="H54" i="1"/>
  <c r="H55" i="1"/>
  <c r="H56" i="1"/>
  <c r="H57" i="1"/>
  <c r="H58" i="1"/>
  <c r="H59" i="1"/>
  <c r="H33" i="1"/>
  <c r="H34" i="1"/>
  <c r="H35" i="1"/>
  <c r="H36" i="1"/>
  <c r="H37" i="1"/>
  <c r="H38" i="1"/>
  <c r="H39" i="1"/>
  <c r="H40" i="1"/>
  <c r="H41" i="1"/>
  <c r="H32" i="1"/>
  <c r="H28" i="1"/>
  <c r="H27" i="1"/>
  <c r="H26" i="1"/>
  <c r="H25" i="1"/>
  <c r="H24" i="1"/>
  <c r="H23" i="1"/>
  <c r="H22" i="1"/>
  <c r="H73" i="1"/>
  <c r="H60" i="1"/>
  <c r="H42" i="1"/>
  <c r="H21" i="1"/>
  <c r="H11" i="1"/>
  <c r="H10" i="1"/>
  <c r="H5" i="1"/>
  <c r="H12" i="1" l="1"/>
  <c r="H13" i="1"/>
  <c r="H14" i="1"/>
  <c r="H15" i="1"/>
  <c r="H16" i="1"/>
  <c r="H17" i="1"/>
  <c r="H18" i="1"/>
  <c r="H19" i="1"/>
  <c r="H20" i="1"/>
  <c r="H29" i="1"/>
  <c r="H30" i="1"/>
  <c r="H31" i="1"/>
  <c r="H43" i="1"/>
  <c r="H44" i="1"/>
  <c r="H45" i="1"/>
  <c r="H46" i="1"/>
  <c r="H47" i="1"/>
  <c r="H48" i="1"/>
  <c r="H49" i="1"/>
  <c r="H50" i="1"/>
  <c r="H9" i="1"/>
  <c r="H8" i="1"/>
</calcChain>
</file>

<file path=xl/sharedStrings.xml><?xml version="1.0" encoding="utf-8"?>
<sst xmlns="http://schemas.openxmlformats.org/spreadsheetml/2006/main" count="318" uniqueCount="149">
  <si>
    <t>1.1.1</t>
  </si>
  <si>
    <t>WBS No.</t>
  </si>
  <si>
    <t>Nombre de la tarea</t>
  </si>
  <si>
    <t>Estado</t>
  </si>
  <si>
    <t>Asignado a</t>
  </si>
  <si>
    <t>Fecha  inicio</t>
  </si>
  <si>
    <t>Fecha fin</t>
  </si>
  <si>
    <t>Duración (en días)</t>
  </si>
  <si>
    <t>Comentarios</t>
  </si>
  <si>
    <t>Título del Proyecto</t>
  </si>
  <si>
    <t>Gerente del Proyecto</t>
  </si>
  <si>
    <t>Fecha inicio</t>
  </si>
  <si>
    <t>Fecha Fin</t>
  </si>
  <si>
    <t>Duracion del proyecto</t>
  </si>
  <si>
    <t>en dias</t>
  </si>
  <si>
    <t>Completo</t>
  </si>
  <si>
    <t>En progreso</t>
  </si>
  <si>
    <t>No Iniciado</t>
  </si>
  <si>
    <t>En Espera</t>
  </si>
  <si>
    <t xml:space="preserve">Modelo Predictivo calidad del aire </t>
  </si>
  <si>
    <t>Juan Esteban Guerrero</t>
  </si>
  <si>
    <t>Inicio del Proyecto</t>
  </si>
  <si>
    <t>Planificación</t>
  </si>
  <si>
    <t>Preparación y Análisis de Datos</t>
  </si>
  <si>
    <t>Desarrollo del Modelo Predictivo</t>
  </si>
  <si>
    <t>Elaboración del Acta de Constitución</t>
  </si>
  <si>
    <t>Definición del alcance y cronograma</t>
  </si>
  <si>
    <t>Definir objetivos del proyecto</t>
  </si>
  <si>
    <t>1.1.2</t>
  </si>
  <si>
    <t>Identificar stakeholders</t>
  </si>
  <si>
    <t>1.1.3</t>
  </si>
  <si>
    <t>Formalizar aprobación inicial</t>
  </si>
  <si>
    <t xml:space="preserve"> Delimitar alcance del proyecto</t>
  </si>
  <si>
    <t>Definir entregables principales</t>
  </si>
  <si>
    <t>Establecer cronograma general</t>
  </si>
  <si>
    <t>1,2.1</t>
  </si>
  <si>
    <t>1,2.2</t>
  </si>
  <si>
    <t>1,2.3</t>
  </si>
  <si>
    <t>Estimar recursos, costos y presupuestos</t>
  </si>
  <si>
    <t>Definir recursos humanos</t>
  </si>
  <si>
    <t>Estimar recursos tecnológicos</t>
  </si>
  <si>
    <t>Calcular presupuesto total</t>
  </si>
  <si>
    <t>2,1,1</t>
  </si>
  <si>
    <t>2,1,2</t>
  </si>
  <si>
    <t>2,1,3</t>
  </si>
  <si>
    <t>Identificar riesgos</t>
  </si>
  <si>
    <t>Listar riesgos técnicos</t>
  </si>
  <si>
    <t>Analizar probabilidad e impacto</t>
  </si>
  <si>
    <t>Definir estrategias de mitigación</t>
  </si>
  <si>
    <t>Plan de comunicación y reuniones</t>
  </si>
  <si>
    <t>Definir canales de comunicación</t>
  </si>
  <si>
    <t>Establecer frecuencia de reuniones</t>
  </si>
  <si>
    <t>Asignar responsables</t>
  </si>
  <si>
    <t>2,3,1</t>
  </si>
  <si>
    <t>2,3,2</t>
  </si>
  <si>
    <t>2,3,3</t>
  </si>
  <si>
    <t>Obtención del dataset</t>
  </si>
  <si>
    <t>Buscar fuentes oficiales</t>
  </si>
  <si>
    <t>Descargar datos históricos</t>
  </si>
  <si>
    <t>Verificar integridad del dataset</t>
  </si>
  <si>
    <t>3,1,1</t>
  </si>
  <si>
    <t>3,1,2</t>
  </si>
  <si>
    <t>3,1,3</t>
  </si>
  <si>
    <t>Limpieza y depuración de datos</t>
  </si>
  <si>
    <t>Eliminar valores nulos</t>
  </si>
  <si>
    <t>Corregir inconsistencias</t>
  </si>
  <si>
    <t>Normalizar datos</t>
  </si>
  <si>
    <t>3,2,1</t>
  </si>
  <si>
    <t>3,2,2</t>
  </si>
  <si>
    <t>3,2,3</t>
  </si>
  <si>
    <t>Análisis descriptivo (EDA)</t>
  </si>
  <si>
    <t>Análisis estadístico</t>
  </si>
  <si>
    <t>Identificación de patrones</t>
  </si>
  <si>
    <t>Visualización de correlaciones</t>
  </si>
  <si>
    <t>3,3,1</t>
  </si>
  <si>
    <t>3,3,2</t>
  </si>
  <si>
    <t>3,3,3</t>
  </si>
  <si>
    <t>Selección y preparación de variables</t>
  </si>
  <si>
    <t>Selección de variables relevantes</t>
  </si>
  <si>
    <t>División train/test</t>
  </si>
  <si>
    <t>Transformación de variables</t>
  </si>
  <si>
    <t>3,4,1</t>
  </si>
  <si>
    <t>3,4,2</t>
  </si>
  <si>
    <t>3,4,3</t>
  </si>
  <si>
    <t>Diseño de arquitectura de red neuronal</t>
  </si>
  <si>
    <t>Definir número de capas</t>
  </si>
  <si>
    <t>Definir neuronas por capa</t>
  </si>
  <si>
    <t>Seleccionar funciones de activación</t>
  </si>
  <si>
    <t>4,1,1</t>
  </si>
  <si>
    <t>4,1,2</t>
  </si>
  <si>
    <t>4,1,3</t>
  </si>
  <si>
    <t>Entrenamiento del modelo</t>
  </si>
  <si>
    <t>Configurar hiperparámetros</t>
  </si>
  <si>
    <t>Entrenar con datos históricos</t>
  </si>
  <si>
    <t>Ajustar iteraciones</t>
  </si>
  <si>
    <t>4,2,1</t>
  </si>
  <si>
    <t>4,2,2</t>
  </si>
  <si>
    <t>4,2,3</t>
  </si>
  <si>
    <t>Calcular métricas de desempeño</t>
  </si>
  <si>
    <t>Ajustar parámetros</t>
  </si>
  <si>
    <t>Validar modelo final</t>
  </si>
  <si>
    <t>Evaluación y optimización</t>
  </si>
  <si>
    <t>4,3,1</t>
  </si>
  <si>
    <t>4,3,2</t>
  </si>
  <si>
    <t>4,3,3</t>
  </si>
  <si>
    <t>Desarrollo de la Aplicación Web</t>
  </si>
  <si>
    <t>Diseño visual</t>
  </si>
  <si>
    <t>Definición de experiencia de usuario</t>
  </si>
  <si>
    <t>Validación de prototipo</t>
  </si>
  <si>
    <t>5,1,1</t>
  </si>
  <si>
    <t>5,1,2</t>
  </si>
  <si>
    <t>5,1,3</t>
  </si>
  <si>
    <t>Diseño de interfaz (Mockups)</t>
  </si>
  <si>
    <t>Implementación interfaz responsiva</t>
  </si>
  <si>
    <t>Conexión con API</t>
  </si>
  <si>
    <t>Pruebas visuales</t>
  </si>
  <si>
    <t>5,2,1</t>
  </si>
  <si>
    <t>5,2,2</t>
  </si>
  <si>
    <t>5,2,3</t>
  </si>
  <si>
    <t>Desarrollo Frontend</t>
  </si>
  <si>
    <t>Integración del modelo predictivo</t>
  </si>
  <si>
    <t>Pruebas de funcionamiento</t>
  </si>
  <si>
    <t>5,3,1</t>
  </si>
  <si>
    <t>5,3,2</t>
  </si>
  <si>
    <t>5,3,3</t>
  </si>
  <si>
    <t>Cierre del Proyecto</t>
  </si>
  <si>
    <t>Documentación del modelo</t>
  </si>
  <si>
    <t>Manual de usuario</t>
  </si>
  <si>
    <t>Redacción de resultados</t>
  </si>
  <si>
    <t>Lecciones aprendidas</t>
  </si>
  <si>
    <t>Conclusiones</t>
  </si>
  <si>
    <t>Acta de cierre</t>
  </si>
  <si>
    <t>Aprobación final</t>
  </si>
  <si>
    <t>6,1,1</t>
  </si>
  <si>
    <t>6,2,1</t>
  </si>
  <si>
    <t>6,3,1</t>
  </si>
  <si>
    <t>6,1,2</t>
  </si>
  <si>
    <t>6,2,2</t>
  </si>
  <si>
    <t>6,2,3</t>
  </si>
  <si>
    <t>6,3,2</t>
  </si>
  <si>
    <t>Desarrollo Backend e integración del modelo</t>
  </si>
  <si>
    <t>Documentación técnica y manual de usuario</t>
  </si>
  <si>
    <t>Informe final del proyecto</t>
  </si>
  <si>
    <t>Cierre formal del proyecto</t>
  </si>
  <si>
    <t>Despliegue de la pagina</t>
  </si>
  <si>
    <t>Nicolas Numpaque</t>
  </si>
  <si>
    <t xml:space="preserve">Juan Esteban </t>
  </si>
  <si>
    <t xml:space="preserve">Nicolas Moreno </t>
  </si>
  <si>
    <t xml:space="preserve">Luis Guillermo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</si>
</sst>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mm/dd"/>
  </numFmts>
  <fonts count="20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10"/>
      <color theme="1"/>
      <name val="Century Gothic"/>
      <family val="1"/>
    </font>
    <font>
      <sz val="10"/>
      <color theme="0"/>
      <name val="Century Gothic"/>
      <family val="1"/>
    </font>
    <font>
      <sz val="12"/>
      <color theme="0"/>
      <name val="Century Gothic"/>
      <family val="1"/>
    </font>
    <font>
      <sz val="12"/>
      <color rgb="FF000000"/>
      <name val="Century Gothic"/>
      <family val="1"/>
    </font>
    <font>
      <sz val="12"/>
      <color theme="1"/>
      <name val="Century Gothic"/>
      <family val="1"/>
    </font>
    <font>
      <b/>
      <sz val="11"/>
      <color rgb="FF001033"/>
      <name val="Century Gothic"/>
      <family val="1"/>
    </font>
    <font>
      <b/>
      <sz val="10"/>
      <color rgb="FF001033"/>
      <name val="Century Gothic"/>
      <family val="1"/>
    </font>
    <font>
      <b/>
      <sz val="28"/>
      <color rgb="FF001033"/>
      <name val="Century Gothic"/>
      <family val="1"/>
    </font>
    <font>
      <sz val="14"/>
      <color theme="1"/>
      <name val="Arial"/>
      <family val="2"/>
    </font>
    <font>
      <sz val="12"/>
      <name val="Century Gothic"/>
      <family val="1"/>
    </font>
    <font>
      <sz val="10"/>
      <name val="Century Gothic"/>
      <family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1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medium">
        <color rgb="FF00103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103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rgb="FF001033"/>
      </top>
      <bottom style="thin">
        <color theme="0" tint="-0.249977111117893"/>
      </bottom>
      <diagonal/>
    </border>
    <border>
      <left style="medium">
        <color rgb="FF001033"/>
      </left>
      <right style="medium">
        <color rgb="FF001033"/>
      </right>
      <top style="medium">
        <color rgb="FF001033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</cellStyleXfs>
  <cellXfs count="115">
    <xf numFmtId="0" fontId="0" fillId="0" borderId="0" xfId="0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 readingOrder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164" fontId="4" fillId="2" borderId="1" xfId="0" applyNumberFormat="1" applyFont="1" applyFill="1" applyBorder="1" applyAlignment="1">
      <alignment horizontal="left" vertical="center" wrapText="1" indent="1"/>
    </xf>
    <xf numFmtId="0" fontId="4" fillId="2" borderId="2" xfId="0" applyFont="1" applyFill="1" applyBorder="1" applyAlignment="1">
      <alignment horizontal="left" vertical="center" wrapText="1" indent="1"/>
    </xf>
    <xf numFmtId="164" fontId="4" fillId="2" borderId="2" xfId="0" applyNumberFormat="1" applyFont="1" applyFill="1" applyBorder="1" applyAlignment="1">
      <alignment horizontal="left" vertical="center" wrapText="1" indent="1"/>
    </xf>
    <xf numFmtId="0" fontId="4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164" fontId="9" fillId="2" borderId="2" xfId="0" applyNumberFormat="1" applyFont="1" applyFill="1" applyBorder="1" applyAlignment="1">
      <alignment horizontal="left" vertical="center" wrapText="1" indent="1"/>
    </xf>
    <xf numFmtId="0" fontId="10" fillId="7" borderId="3" xfId="0" applyFont="1" applyFill="1" applyBorder="1" applyAlignment="1">
      <alignment horizontal="left" vertical="center" wrapText="1" indent="1"/>
    </xf>
    <xf numFmtId="0" fontId="4" fillId="8" borderId="3" xfId="0" applyFont="1" applyFill="1" applyBorder="1" applyAlignment="1">
      <alignment horizontal="left" vertical="center" wrapText="1" indent="1"/>
    </xf>
    <xf numFmtId="0" fontId="10" fillId="9" borderId="3" xfId="0" applyFont="1" applyFill="1" applyBorder="1" applyAlignment="1">
      <alignment horizontal="left" vertical="center" wrapText="1" indent="1"/>
    </xf>
    <xf numFmtId="0" fontId="11" fillId="7" borderId="3" xfId="0" applyFont="1" applyFill="1" applyBorder="1" applyAlignment="1">
      <alignment horizontal="left" vertical="center" wrapText="1" indent="1"/>
    </xf>
    <xf numFmtId="0" fontId="11" fillId="8" borderId="3" xfId="0" applyFont="1" applyFill="1" applyBorder="1" applyAlignment="1">
      <alignment horizontal="left" vertical="center" wrapText="1" indent="1"/>
    </xf>
    <xf numFmtId="0" fontId="11" fillId="9" borderId="3" xfId="0" applyFont="1" applyFill="1" applyBorder="1" applyAlignment="1">
      <alignment horizontal="left" vertical="center" wrapText="1" indent="1"/>
    </xf>
    <xf numFmtId="0" fontId="11" fillId="7" borderId="3" xfId="0" applyFont="1" applyFill="1" applyBorder="1" applyAlignment="1">
      <alignment horizontal="left" vertical="center" wrapText="1" indent="1" readingOrder="1"/>
    </xf>
    <xf numFmtId="164" fontId="11" fillId="7" borderId="3" xfId="0" applyNumberFormat="1" applyFont="1" applyFill="1" applyBorder="1" applyAlignment="1">
      <alignment horizontal="left" vertical="center" wrapText="1" indent="1"/>
    </xf>
    <xf numFmtId="165" fontId="11" fillId="7" borderId="3" xfId="0" applyNumberFormat="1" applyFont="1" applyFill="1" applyBorder="1" applyAlignment="1">
      <alignment horizontal="left" vertical="center" wrapText="1" indent="1" readingOrder="1"/>
    </xf>
    <xf numFmtId="165" fontId="11" fillId="7" borderId="3" xfId="0" applyNumberFormat="1" applyFont="1" applyFill="1" applyBorder="1" applyAlignment="1">
      <alignment horizontal="left" vertical="center" wrapText="1" indent="1"/>
    </xf>
    <xf numFmtId="1" fontId="11" fillId="7" borderId="3" xfId="0" applyNumberFormat="1" applyFont="1" applyFill="1" applyBorder="1" applyAlignment="1">
      <alignment horizontal="left" vertical="center" wrapText="1" indent="1"/>
    </xf>
    <xf numFmtId="0" fontId="12" fillId="8" borderId="3" xfId="0" applyFont="1" applyFill="1" applyBorder="1" applyAlignment="1">
      <alignment horizontal="left" vertical="center" wrapText="1" indent="1" readingOrder="1"/>
    </xf>
    <xf numFmtId="164" fontId="13" fillId="8" borderId="3" xfId="0" applyNumberFormat="1" applyFont="1" applyFill="1" applyBorder="1" applyAlignment="1">
      <alignment horizontal="left" vertical="center" wrapText="1" indent="1"/>
    </xf>
    <xf numFmtId="165" fontId="11" fillId="8" borderId="3" xfId="0" applyNumberFormat="1" applyFont="1" applyFill="1" applyBorder="1" applyAlignment="1">
      <alignment horizontal="left" vertical="center" wrapText="1" indent="1" readingOrder="1"/>
    </xf>
    <xf numFmtId="165" fontId="11" fillId="8" borderId="3" xfId="0" applyNumberFormat="1" applyFont="1" applyFill="1" applyBorder="1" applyAlignment="1">
      <alignment horizontal="left" vertical="center" wrapText="1" indent="1"/>
    </xf>
    <xf numFmtId="1" fontId="11" fillId="8" borderId="3" xfId="0" applyNumberFormat="1" applyFont="1" applyFill="1" applyBorder="1" applyAlignment="1">
      <alignment horizontal="left" vertical="center" wrapText="1" indent="1"/>
    </xf>
    <xf numFmtId="0" fontId="11" fillId="9" borderId="3" xfId="0" applyFont="1" applyFill="1" applyBorder="1" applyAlignment="1">
      <alignment horizontal="left" vertical="center" wrapText="1" indent="1" readingOrder="1"/>
    </xf>
    <xf numFmtId="164" fontId="11" fillId="9" borderId="3" xfId="0" applyNumberFormat="1" applyFont="1" applyFill="1" applyBorder="1" applyAlignment="1">
      <alignment horizontal="left" vertical="center" wrapText="1" indent="1"/>
    </xf>
    <xf numFmtId="165" fontId="11" fillId="9" borderId="3" xfId="0" applyNumberFormat="1" applyFont="1" applyFill="1" applyBorder="1" applyAlignment="1">
      <alignment horizontal="left" vertical="center" wrapText="1" indent="1" readingOrder="1"/>
    </xf>
    <xf numFmtId="165" fontId="11" fillId="9" borderId="3" xfId="0" applyNumberFormat="1" applyFont="1" applyFill="1" applyBorder="1" applyAlignment="1">
      <alignment horizontal="left" vertical="center" wrapText="1" indent="1"/>
    </xf>
    <xf numFmtId="1" fontId="11" fillId="9" borderId="3" xfId="0" applyNumberFormat="1" applyFont="1" applyFill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1"/>
    </xf>
    <xf numFmtId="0" fontId="4" fillId="2" borderId="5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wrapText="1"/>
    </xf>
    <xf numFmtId="0" fontId="11" fillId="6" borderId="3" xfId="0" applyFont="1" applyFill="1" applyBorder="1" applyAlignment="1">
      <alignment horizontal="left" vertical="center" wrapText="1" indent="1"/>
    </xf>
    <xf numFmtId="0" fontId="14" fillId="4" borderId="6" xfId="0" applyFont="1" applyFill="1" applyBorder="1" applyAlignment="1">
      <alignment horizontal="left" vertical="center" wrapText="1" indent="1"/>
    </xf>
    <xf numFmtId="0" fontId="6" fillId="6" borderId="3" xfId="0" applyFont="1" applyFill="1" applyBorder="1" applyAlignment="1">
      <alignment horizontal="left" vertical="center" wrapText="1" indent="1"/>
    </xf>
    <xf numFmtId="165" fontId="11" fillId="6" borderId="3" xfId="0" applyNumberFormat="1" applyFont="1" applyFill="1" applyBorder="1" applyAlignment="1">
      <alignment horizontal="left" vertical="center" wrapText="1" indent="1"/>
    </xf>
    <xf numFmtId="0" fontId="14" fillId="10" borderId="6" xfId="0" applyFont="1" applyFill="1" applyBorder="1" applyAlignment="1">
      <alignment horizontal="left" vertical="center" wrapText="1" indent="1"/>
    </xf>
    <xf numFmtId="0" fontId="14" fillId="10" borderId="4" xfId="0" applyFont="1" applyFill="1" applyBorder="1" applyAlignment="1">
      <alignment horizontal="left" vertical="center" wrapText="1" indent="1"/>
    </xf>
    <xf numFmtId="165" fontId="11" fillId="6" borderId="7" xfId="0" applyNumberFormat="1" applyFont="1" applyFill="1" applyBorder="1" applyAlignment="1">
      <alignment horizontal="left" vertical="center" wrapText="1" indent="1"/>
    </xf>
    <xf numFmtId="1" fontId="11" fillId="6" borderId="3" xfId="0" applyNumberFormat="1" applyFont="1" applyFill="1" applyBorder="1" applyAlignment="1">
      <alignment horizontal="left" vertical="center" wrapText="1" indent="1"/>
    </xf>
    <xf numFmtId="0" fontId="10" fillId="6" borderId="3" xfId="0" applyFont="1" applyFill="1" applyBorder="1" applyAlignment="1">
      <alignment horizontal="left" vertical="center" wrapText="1" indent="1"/>
    </xf>
    <xf numFmtId="165" fontId="5" fillId="0" borderId="1" xfId="0" applyNumberFormat="1" applyFont="1" applyBorder="1" applyAlignment="1">
      <alignment horizontal="left" vertical="center" wrapText="1" indent="1" readingOrder="1"/>
    </xf>
    <xf numFmtId="165" fontId="4" fillId="0" borderId="1" xfId="0" applyNumberFormat="1" applyFont="1" applyBorder="1" applyAlignment="1">
      <alignment horizontal="left" vertical="center" wrapText="1" indent="1"/>
    </xf>
    <xf numFmtId="165" fontId="5" fillId="0" borderId="2" xfId="0" applyNumberFormat="1" applyFont="1" applyBorder="1" applyAlignment="1">
      <alignment horizontal="left" vertical="center" wrapText="1" indent="1" readingOrder="1"/>
    </xf>
    <xf numFmtId="165" fontId="4" fillId="0" borderId="2" xfId="0" applyNumberFormat="1" applyFont="1" applyBorder="1" applyAlignment="1">
      <alignment horizontal="left" vertical="center" wrapText="1" indent="1"/>
    </xf>
    <xf numFmtId="1" fontId="4" fillId="11" borderId="1" xfId="0" applyNumberFormat="1" applyFont="1" applyFill="1" applyBorder="1" applyAlignment="1">
      <alignment horizontal="left" vertical="center" wrapText="1" indent="1"/>
    </xf>
    <xf numFmtId="1" fontId="4" fillId="12" borderId="1" xfId="0" applyNumberFormat="1" applyFont="1" applyFill="1" applyBorder="1" applyAlignment="1">
      <alignment horizontal="left" vertical="center" wrapText="1" indent="1"/>
    </xf>
    <xf numFmtId="1" fontId="4" fillId="12" borderId="2" xfId="0" applyNumberFormat="1" applyFont="1" applyFill="1" applyBorder="1" applyAlignment="1">
      <alignment horizontal="left" vertical="center" wrapText="1" indent="1"/>
    </xf>
    <xf numFmtId="1" fontId="4" fillId="13" borderId="1" xfId="0" applyNumberFormat="1" applyFont="1" applyFill="1" applyBorder="1" applyAlignment="1">
      <alignment horizontal="left" vertical="center" wrapText="1" indent="1"/>
    </xf>
    <xf numFmtId="1" fontId="4" fillId="13" borderId="2" xfId="0" applyNumberFormat="1" applyFont="1" applyFill="1" applyBorder="1" applyAlignment="1">
      <alignment horizontal="left" vertical="center" wrapText="1" indent="1"/>
    </xf>
    <xf numFmtId="1" fontId="4" fillId="3" borderId="1" xfId="0" applyNumberFormat="1" applyFont="1" applyFill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165" fontId="4" fillId="0" borderId="4" xfId="0" applyNumberFormat="1" applyFont="1" applyBorder="1" applyAlignment="1">
      <alignment horizontal="left" vertical="center" wrapText="1" indent="1"/>
    </xf>
    <xf numFmtId="1" fontId="4" fillId="11" borderId="8" xfId="0" applyNumberFormat="1" applyFont="1" applyFill="1" applyBorder="1" applyAlignment="1">
      <alignment horizontal="left" vertical="center" wrapText="1" indent="1"/>
    </xf>
    <xf numFmtId="0" fontId="16" fillId="2" borderId="0" xfId="0" applyFont="1" applyFill="1" applyAlignment="1">
      <alignment vertical="center"/>
    </xf>
    <xf numFmtId="0" fontId="5" fillId="14" borderId="1" xfId="0" applyFont="1" applyFill="1" applyBorder="1" applyAlignment="1">
      <alignment horizontal="left" vertical="center" wrapText="1" indent="1" readingOrder="1"/>
    </xf>
    <xf numFmtId="0" fontId="4" fillId="5" borderId="3" xfId="0" applyFont="1" applyFill="1" applyBorder="1" applyAlignment="1">
      <alignment horizontal="left" vertical="center" wrapText="1" indent="1"/>
    </xf>
    <xf numFmtId="0" fontId="15" fillId="4" borderId="6" xfId="0" applyFont="1" applyFill="1" applyBorder="1" applyAlignment="1">
      <alignment horizontal="left" vertical="center" wrapText="1" indent="1"/>
    </xf>
    <xf numFmtId="0" fontId="11" fillId="6" borderId="0" xfId="0" applyFont="1" applyFill="1" applyAlignment="1">
      <alignment horizontal="left" vertical="center" indent="1"/>
    </xf>
    <xf numFmtId="0" fontId="5" fillId="15" borderId="1" xfId="0" applyFont="1" applyFill="1" applyBorder="1" applyAlignment="1">
      <alignment horizontal="left" vertical="center" wrapText="1" indent="1" readingOrder="1"/>
    </xf>
    <xf numFmtId="0" fontId="4" fillId="16" borderId="1" xfId="0" applyFont="1" applyFill="1" applyBorder="1" applyAlignment="1">
      <alignment horizontal="left" vertical="center" wrapText="1" indent="1"/>
    </xf>
    <xf numFmtId="164" fontId="4" fillId="2" borderId="4" xfId="0" applyNumberFormat="1" applyFont="1" applyFill="1" applyBorder="1" applyAlignment="1">
      <alignment horizontal="left" vertical="center" wrapText="1" indent="1"/>
    </xf>
    <xf numFmtId="165" fontId="5" fillId="0" borderId="4" xfId="0" applyNumberFormat="1" applyFont="1" applyBorder="1" applyAlignment="1">
      <alignment horizontal="left" vertical="center" wrapText="1" indent="1" readingOrder="1"/>
    </xf>
    <xf numFmtId="1" fontId="4" fillId="12" borderId="4" xfId="0" applyNumberFormat="1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8" fillId="0" borderId="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1" fontId="4" fillId="3" borderId="4" xfId="0" applyNumberFormat="1" applyFont="1" applyFill="1" applyBorder="1" applyAlignment="1">
      <alignment horizontal="left" vertical="center" wrapText="1" indent="1"/>
    </xf>
    <xf numFmtId="0" fontId="11" fillId="17" borderId="3" xfId="0" applyFont="1" applyFill="1" applyBorder="1" applyAlignment="1">
      <alignment horizontal="left" vertical="center" wrapText="1" indent="1"/>
    </xf>
    <xf numFmtId="0" fontId="11" fillId="17" borderId="3" xfId="0" applyFont="1" applyFill="1" applyBorder="1" applyAlignment="1">
      <alignment horizontal="left" vertical="center" wrapText="1" indent="1" readingOrder="1"/>
    </xf>
    <xf numFmtId="164" fontId="11" fillId="17" borderId="3" xfId="0" applyNumberFormat="1" applyFont="1" applyFill="1" applyBorder="1" applyAlignment="1">
      <alignment horizontal="left" vertical="center" wrapText="1" indent="1"/>
    </xf>
    <xf numFmtId="165" fontId="11" fillId="17" borderId="3" xfId="0" applyNumberFormat="1" applyFont="1" applyFill="1" applyBorder="1" applyAlignment="1">
      <alignment horizontal="left" vertical="center" wrapText="1" indent="1" readingOrder="1"/>
    </xf>
    <xf numFmtId="165" fontId="11" fillId="17" borderId="3" xfId="0" applyNumberFormat="1" applyFont="1" applyFill="1" applyBorder="1" applyAlignment="1">
      <alignment horizontal="left" vertical="center" wrapText="1" indent="1"/>
    </xf>
    <xf numFmtId="1" fontId="11" fillId="17" borderId="3" xfId="0" applyNumberFormat="1" applyFont="1" applyFill="1" applyBorder="1" applyAlignment="1">
      <alignment horizontal="left" vertical="center" wrapText="1" indent="1"/>
    </xf>
    <xf numFmtId="0" fontId="10" fillId="17" borderId="3" xfId="0" applyFont="1" applyFill="1" applyBorder="1" applyAlignment="1">
      <alignment horizontal="left" vertical="center" wrapText="1" indent="1"/>
    </xf>
    <xf numFmtId="0" fontId="11" fillId="18" borderId="3" xfId="0" applyFont="1" applyFill="1" applyBorder="1" applyAlignment="1">
      <alignment horizontal="left" vertical="center" wrapText="1" indent="1"/>
    </xf>
    <xf numFmtId="0" fontId="11" fillId="18" borderId="3" xfId="0" applyFont="1" applyFill="1" applyBorder="1" applyAlignment="1">
      <alignment horizontal="left" vertical="center" wrapText="1" indent="1" readingOrder="1"/>
    </xf>
    <xf numFmtId="164" fontId="11" fillId="18" borderId="3" xfId="0" applyNumberFormat="1" applyFont="1" applyFill="1" applyBorder="1" applyAlignment="1">
      <alignment horizontal="left" vertical="center" wrapText="1" indent="1"/>
    </xf>
    <xf numFmtId="165" fontId="11" fillId="18" borderId="3" xfId="0" applyNumberFormat="1" applyFont="1" applyFill="1" applyBorder="1" applyAlignment="1">
      <alignment horizontal="left" vertical="center" wrapText="1" indent="1" readingOrder="1"/>
    </xf>
    <xf numFmtId="165" fontId="11" fillId="18" borderId="3" xfId="0" applyNumberFormat="1" applyFont="1" applyFill="1" applyBorder="1" applyAlignment="1">
      <alignment horizontal="left" vertical="center" wrapText="1" indent="1"/>
    </xf>
    <xf numFmtId="1" fontId="11" fillId="18" borderId="3" xfId="0" applyNumberFormat="1" applyFont="1" applyFill="1" applyBorder="1" applyAlignment="1">
      <alignment horizontal="left" vertical="center" wrapText="1" indent="1"/>
    </xf>
    <xf numFmtId="0" fontId="10" fillId="18" borderId="3" xfId="0" applyFont="1" applyFill="1" applyBorder="1" applyAlignment="1">
      <alignment horizontal="left" vertical="center" wrapText="1" indent="1"/>
    </xf>
    <xf numFmtId="0" fontId="17" fillId="0" borderId="1" xfId="0" applyFont="1" applyBorder="1" applyAlignment="1">
      <alignment vertical="center" wrapText="1"/>
    </xf>
    <xf numFmtId="0" fontId="17" fillId="0" borderId="0" xfId="0" applyFont="1"/>
    <xf numFmtId="164" fontId="17" fillId="2" borderId="1" xfId="0" applyNumberFormat="1" applyFont="1" applyFill="1" applyBorder="1" applyAlignment="1">
      <alignment vertical="center" wrapText="1"/>
    </xf>
    <xf numFmtId="164" fontId="17" fillId="2" borderId="4" xfId="0" applyNumberFormat="1" applyFont="1" applyFill="1" applyBorder="1" applyAlignment="1">
      <alignment vertical="center" wrapText="1"/>
    </xf>
    <xf numFmtId="14" fontId="4" fillId="0" borderId="1" xfId="0" applyNumberFormat="1" applyFont="1" applyBorder="1" applyAlignment="1">
      <alignment horizontal="left" vertical="center" wrapText="1" indent="1"/>
    </xf>
    <xf numFmtId="1" fontId="18" fillId="2" borderId="3" xfId="0" applyNumberFormat="1" applyFont="1" applyFill="1" applyBorder="1" applyAlignment="1">
      <alignment horizontal="left" vertical="center" wrapText="1" indent="1"/>
    </xf>
    <xf numFmtId="1" fontId="19" fillId="3" borderId="1" xfId="0" applyNumberFormat="1" applyFont="1" applyFill="1" applyBorder="1" applyAlignment="1">
      <alignment horizontal="left" vertical="center" wrapText="1" indent="1"/>
    </xf>
    <xf numFmtId="14" fontId="11" fillId="6" borderId="3" xfId="0" applyNumberFormat="1" applyFont="1" applyFill="1" applyBorder="1" applyAlignment="1">
      <alignment horizontal="left" vertical="center" wrapText="1" indent="1"/>
    </xf>
    <xf numFmtId="14" fontId="11" fillId="6" borderId="7" xfId="0" applyNumberFormat="1" applyFont="1" applyFill="1" applyBorder="1" applyAlignment="1">
      <alignment horizontal="left" vertical="center" wrapText="1" indent="1"/>
    </xf>
    <xf numFmtId="14" fontId="5" fillId="0" borderId="1" xfId="0" applyNumberFormat="1" applyFont="1" applyBorder="1" applyAlignment="1">
      <alignment horizontal="left" vertical="center" wrapText="1" indent="1" readingOrder="1"/>
    </xf>
    <xf numFmtId="14" fontId="11" fillId="7" borderId="3" xfId="0" applyNumberFormat="1" applyFont="1" applyFill="1" applyBorder="1" applyAlignment="1">
      <alignment horizontal="left" vertical="center" wrapText="1" indent="1" readingOrder="1"/>
    </xf>
    <xf numFmtId="14" fontId="11" fillId="7" borderId="3" xfId="0" applyNumberFormat="1" applyFont="1" applyFill="1" applyBorder="1" applyAlignment="1">
      <alignment horizontal="left" vertical="center" wrapText="1" indent="1"/>
    </xf>
    <xf numFmtId="14" fontId="5" fillId="0" borderId="2" xfId="0" applyNumberFormat="1" applyFont="1" applyBorder="1" applyAlignment="1">
      <alignment horizontal="left" vertical="center" wrapText="1" indent="1" readingOrder="1"/>
    </xf>
    <xf numFmtId="14" fontId="4" fillId="0" borderId="2" xfId="0" applyNumberFormat="1" applyFont="1" applyBorder="1" applyAlignment="1">
      <alignment horizontal="left" vertical="center" wrapText="1" indent="1"/>
    </xf>
    <xf numFmtId="14" fontId="5" fillId="0" borderId="4" xfId="0" applyNumberFormat="1" applyFont="1" applyBorder="1" applyAlignment="1">
      <alignment horizontal="left" vertical="center" wrapText="1" indent="1" readingOrder="1"/>
    </xf>
    <xf numFmtId="14" fontId="4" fillId="0" borderId="4" xfId="0" applyNumberFormat="1" applyFont="1" applyBorder="1" applyAlignment="1">
      <alignment horizontal="left" vertical="center" wrapText="1" indent="1"/>
    </xf>
    <xf numFmtId="14" fontId="11" fillId="8" borderId="3" xfId="0" applyNumberFormat="1" applyFont="1" applyFill="1" applyBorder="1" applyAlignment="1">
      <alignment horizontal="left" vertical="center" wrapText="1" indent="1" readingOrder="1"/>
    </xf>
    <xf numFmtId="14" fontId="11" fillId="8" borderId="3" xfId="0" applyNumberFormat="1" applyFont="1" applyFill="1" applyBorder="1" applyAlignment="1">
      <alignment horizontal="left" vertical="center" wrapText="1" indent="1"/>
    </xf>
    <xf numFmtId="14" fontId="11" fillId="9" borderId="3" xfId="0" applyNumberFormat="1" applyFont="1" applyFill="1" applyBorder="1" applyAlignment="1">
      <alignment horizontal="left" vertical="center" wrapText="1" indent="1" readingOrder="1"/>
    </xf>
    <xf numFmtId="14" fontId="11" fillId="9" borderId="3" xfId="0" applyNumberFormat="1" applyFont="1" applyFill="1" applyBorder="1" applyAlignment="1">
      <alignment horizontal="left" vertical="center" wrapText="1" indent="1"/>
    </xf>
    <xf numFmtId="14" fontId="11" fillId="17" borderId="3" xfId="0" applyNumberFormat="1" applyFont="1" applyFill="1" applyBorder="1" applyAlignment="1">
      <alignment horizontal="left" vertical="center" wrapText="1" indent="1" readingOrder="1"/>
    </xf>
    <xf numFmtId="14" fontId="11" fillId="17" borderId="3" xfId="0" applyNumberFormat="1" applyFont="1" applyFill="1" applyBorder="1" applyAlignment="1">
      <alignment horizontal="left" vertical="center" wrapText="1" indent="1"/>
    </xf>
    <xf numFmtId="14" fontId="11" fillId="18" borderId="3" xfId="0" applyNumberFormat="1" applyFont="1" applyFill="1" applyBorder="1" applyAlignment="1">
      <alignment horizontal="left" vertical="center" wrapText="1" indent="1" readingOrder="1"/>
    </xf>
    <xf numFmtId="14" fontId="11" fillId="18" borderId="3" xfId="0" applyNumberFormat="1" applyFont="1" applyFill="1" applyBorder="1" applyAlignment="1">
      <alignment horizontal="left" vertical="center" wrapText="1" indent="1"/>
    </xf>
  </cellXfs>
  <cellStyles count="6">
    <cellStyle name="Hipervínculo" xfId="1" builtinId="8" hidden="1"/>
    <cellStyle name="Hipervínculo visitado" xfId="2" builtinId="9" hidden="1"/>
    <cellStyle name="Hipervínculo visitado" xfId="3" builtinId="9" hidden="1"/>
    <cellStyle name="Hipervínculo visitado" xfId="4" builtinId="9" hidden="1"/>
    <cellStyle name="Normal" xfId="0" builtinId="0"/>
    <cellStyle name="Normal 2" xfId="5" xr:uid="{00000000-0005-0000-0000-000005000000}"/>
  </cellStyles>
  <dxfs count="36"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Medium4"/>
  <colors>
    <mruColors>
      <color rgb="FF001033"/>
      <color rgb="FF007134"/>
      <color rgb="FF03C15A"/>
      <color rgb="FFD1EEFF"/>
      <color rgb="FFEAEEF3"/>
      <color rgb="FFADC006"/>
      <color rgb="FFB3E481"/>
      <color rgb="FFA2D0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508443829011548"/>
          <c:y val="5.977179130624994E-2"/>
          <c:w val="0.78554936284254628"/>
          <c:h val="0.92434548571970399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Hoja1!$B$1</c:f>
              <c:strCache>
                <c:ptCount val="1"/>
                <c:pt idx="0">
                  <c:v>Fecha  inicio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Hoja1!$A$1:$A$77</c15:sqref>
                  </c15:fullRef>
                </c:ext>
              </c:extLst>
              <c:f>Hoja1!$A$2:$A$77</c:f>
              <c:strCache>
                <c:ptCount val="76"/>
                <c:pt idx="0">
                  <c:v>Inicio del Proyecto</c:v>
                </c:pt>
                <c:pt idx="1">
                  <c:v>Elaboración del Acta de Constitución</c:v>
                </c:pt>
                <c:pt idx="2">
                  <c:v>Definir objetivos del proyecto</c:v>
                </c:pt>
                <c:pt idx="3">
                  <c:v>Identificar stakeholders</c:v>
                </c:pt>
                <c:pt idx="4">
                  <c:v>Formalizar aprobación inicial</c:v>
                </c:pt>
                <c:pt idx="5">
                  <c:v>Definición del alcance y cronograma</c:v>
                </c:pt>
                <c:pt idx="6">
                  <c:v> Delimitar alcance del proyecto</c:v>
                </c:pt>
                <c:pt idx="7">
                  <c:v>Definir entregables principales</c:v>
                </c:pt>
                <c:pt idx="8">
                  <c:v>Establecer cronograma general</c:v>
                </c:pt>
                <c:pt idx="9">
                  <c:v>Planificación</c:v>
                </c:pt>
                <c:pt idx="10">
                  <c:v>Estimar recursos, costos y presupuestos</c:v>
                </c:pt>
                <c:pt idx="11">
                  <c:v>Definir recursos humanos</c:v>
                </c:pt>
                <c:pt idx="12">
                  <c:v>Estimar recursos tecnológicos</c:v>
                </c:pt>
                <c:pt idx="13">
                  <c:v>Calcular presupuesto total</c:v>
                </c:pt>
                <c:pt idx="14">
                  <c:v>Identificar riesgos</c:v>
                </c:pt>
                <c:pt idx="15">
                  <c:v>Listar riesgos técnicos</c:v>
                </c:pt>
                <c:pt idx="16">
                  <c:v>Analizar probabilidad e impacto</c:v>
                </c:pt>
                <c:pt idx="17">
                  <c:v>Definir estrategias de mitigación</c:v>
                </c:pt>
                <c:pt idx="18">
                  <c:v>Plan de comunicación y reuniones</c:v>
                </c:pt>
                <c:pt idx="19">
                  <c:v>Definir canales de comunicación</c:v>
                </c:pt>
                <c:pt idx="20">
                  <c:v>Establecer frecuencia de reuniones</c:v>
                </c:pt>
                <c:pt idx="21">
                  <c:v>Asignar responsables</c:v>
                </c:pt>
                <c:pt idx="22">
                  <c:v>Preparación y Análisis de Datos</c:v>
                </c:pt>
                <c:pt idx="23">
                  <c:v>Obtención del dataset</c:v>
                </c:pt>
                <c:pt idx="24">
                  <c:v>Buscar fuentes oficiales</c:v>
                </c:pt>
                <c:pt idx="25">
                  <c:v>Descargar datos históricos</c:v>
                </c:pt>
                <c:pt idx="26">
                  <c:v>Verificar integridad del dataset</c:v>
                </c:pt>
                <c:pt idx="27">
                  <c:v>Limpieza y depuración de datos</c:v>
                </c:pt>
                <c:pt idx="28">
                  <c:v>Eliminar valores nulos</c:v>
                </c:pt>
                <c:pt idx="29">
                  <c:v>Corregir inconsistencias</c:v>
                </c:pt>
                <c:pt idx="30">
                  <c:v>Normalizar datos</c:v>
                </c:pt>
                <c:pt idx="31">
                  <c:v>Análisis descriptivo (EDA)</c:v>
                </c:pt>
                <c:pt idx="32">
                  <c:v>Análisis estadístico</c:v>
                </c:pt>
                <c:pt idx="33">
                  <c:v>Identificación de patrones</c:v>
                </c:pt>
                <c:pt idx="34">
                  <c:v>Visualización de correlaciones</c:v>
                </c:pt>
                <c:pt idx="35">
                  <c:v>Selección y preparación de variables</c:v>
                </c:pt>
                <c:pt idx="36">
                  <c:v>Selección de variables relevantes</c:v>
                </c:pt>
                <c:pt idx="37">
                  <c:v>División train/test</c:v>
                </c:pt>
                <c:pt idx="38">
                  <c:v>Transformación de variables</c:v>
                </c:pt>
                <c:pt idx="39">
                  <c:v>Desarrollo del Modelo Predictivo</c:v>
                </c:pt>
                <c:pt idx="40">
                  <c:v>Diseño de arquitectura de red neuronal</c:v>
                </c:pt>
                <c:pt idx="41">
                  <c:v>Definir número de capas</c:v>
                </c:pt>
                <c:pt idx="42">
                  <c:v>Definir neuronas por capa</c:v>
                </c:pt>
                <c:pt idx="43">
                  <c:v>Seleccionar funciones de activación</c:v>
                </c:pt>
                <c:pt idx="44">
                  <c:v>Entrenamiento del modelo</c:v>
                </c:pt>
                <c:pt idx="45">
                  <c:v>Configurar hiperparámetros</c:v>
                </c:pt>
                <c:pt idx="46">
                  <c:v>Entrenar con datos históricos</c:v>
                </c:pt>
                <c:pt idx="47">
                  <c:v>Ajustar iteraciones</c:v>
                </c:pt>
                <c:pt idx="48">
                  <c:v>Evaluación y optimización</c:v>
                </c:pt>
                <c:pt idx="49">
                  <c:v>Calcular métricas de desempeño</c:v>
                </c:pt>
                <c:pt idx="50">
                  <c:v>Ajustar parámetros</c:v>
                </c:pt>
                <c:pt idx="51">
                  <c:v>Validar modelo final</c:v>
                </c:pt>
                <c:pt idx="52">
                  <c:v>Desarrollo de la Aplicación Web</c:v>
                </c:pt>
                <c:pt idx="53">
                  <c:v>Diseño de interfaz (Mockups)</c:v>
                </c:pt>
                <c:pt idx="54">
                  <c:v>Diseño visual</c:v>
                </c:pt>
                <c:pt idx="55">
                  <c:v>Definición de experiencia de usuario</c:v>
                </c:pt>
                <c:pt idx="56">
                  <c:v>Validación de prototipo</c:v>
                </c:pt>
                <c:pt idx="57">
                  <c:v>Desarrollo Frontend</c:v>
                </c:pt>
                <c:pt idx="58">
                  <c:v>Implementación interfaz responsiva</c:v>
                </c:pt>
                <c:pt idx="59">
                  <c:v>Conexión con API</c:v>
                </c:pt>
                <c:pt idx="60">
                  <c:v>Pruebas visuales</c:v>
                </c:pt>
                <c:pt idx="61">
                  <c:v>Desarrollo Backend e integración del modelo</c:v>
                </c:pt>
                <c:pt idx="62">
                  <c:v>Despliegue de la pagina</c:v>
                </c:pt>
                <c:pt idx="63">
                  <c:v>Integración del modelo predictivo</c:v>
                </c:pt>
                <c:pt idx="64">
                  <c:v>Pruebas de funcionamiento</c:v>
                </c:pt>
                <c:pt idx="65">
                  <c:v>Cierre del Proyecto</c:v>
                </c:pt>
                <c:pt idx="66">
                  <c:v>Documentación técnica y manual de usuario</c:v>
                </c:pt>
                <c:pt idx="67">
                  <c:v>Documentación del modelo</c:v>
                </c:pt>
                <c:pt idx="68">
                  <c:v>Manual de usuario</c:v>
                </c:pt>
                <c:pt idx="69">
                  <c:v>Informe final del proyecto</c:v>
                </c:pt>
                <c:pt idx="70">
                  <c:v>Redacción de resultados</c:v>
                </c:pt>
                <c:pt idx="71">
                  <c:v>Lecciones aprendidas</c:v>
                </c:pt>
                <c:pt idx="72">
                  <c:v>Conclusiones</c:v>
                </c:pt>
                <c:pt idx="73">
                  <c:v>Cierre formal del proyecto</c:v>
                </c:pt>
                <c:pt idx="74">
                  <c:v>Acta de cierre</c:v>
                </c:pt>
                <c:pt idx="75">
                  <c:v>Aprobación final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Hoja1!$B$2:$B$77</c15:sqref>
                  </c15:fullRef>
                </c:ext>
              </c:extLst>
              <c:f>Hoja1!$B$3:$B$77</c:f>
              <c:numCache>
                <c:formatCode>m/d/yyyy</c:formatCode>
                <c:ptCount val="75"/>
                <c:pt idx="0">
                  <c:v>46060</c:v>
                </c:pt>
                <c:pt idx="1">
                  <c:v>46060</c:v>
                </c:pt>
                <c:pt idx="2">
                  <c:v>46062</c:v>
                </c:pt>
                <c:pt idx="3">
                  <c:v>46065</c:v>
                </c:pt>
                <c:pt idx="4">
                  <c:v>46070</c:v>
                </c:pt>
                <c:pt idx="5">
                  <c:v>46070</c:v>
                </c:pt>
                <c:pt idx="6">
                  <c:v>46074</c:v>
                </c:pt>
                <c:pt idx="7">
                  <c:v>46077</c:v>
                </c:pt>
                <c:pt idx="8">
                  <c:v>46081</c:v>
                </c:pt>
                <c:pt idx="9">
                  <c:v>46081</c:v>
                </c:pt>
                <c:pt idx="10">
                  <c:v>46081</c:v>
                </c:pt>
                <c:pt idx="11">
                  <c:v>46083</c:v>
                </c:pt>
                <c:pt idx="12">
                  <c:v>46085</c:v>
                </c:pt>
                <c:pt idx="13">
                  <c:v>46088</c:v>
                </c:pt>
                <c:pt idx="14">
                  <c:v>46088</c:v>
                </c:pt>
                <c:pt idx="15">
                  <c:v>46090</c:v>
                </c:pt>
                <c:pt idx="16">
                  <c:v>46093</c:v>
                </c:pt>
                <c:pt idx="17">
                  <c:v>46095</c:v>
                </c:pt>
                <c:pt idx="18">
                  <c:v>46095</c:v>
                </c:pt>
                <c:pt idx="19">
                  <c:v>46097</c:v>
                </c:pt>
                <c:pt idx="20">
                  <c:v>46099</c:v>
                </c:pt>
                <c:pt idx="21">
                  <c:v>46102</c:v>
                </c:pt>
                <c:pt idx="22">
                  <c:v>46102</c:v>
                </c:pt>
                <c:pt idx="23">
                  <c:v>46102</c:v>
                </c:pt>
                <c:pt idx="24">
                  <c:v>46104</c:v>
                </c:pt>
                <c:pt idx="25">
                  <c:v>46106</c:v>
                </c:pt>
                <c:pt idx="26">
                  <c:v>46107</c:v>
                </c:pt>
                <c:pt idx="27">
                  <c:v>46107</c:v>
                </c:pt>
                <c:pt idx="28">
                  <c:v>46109</c:v>
                </c:pt>
                <c:pt idx="29">
                  <c:v>46111</c:v>
                </c:pt>
                <c:pt idx="30">
                  <c:v>46113</c:v>
                </c:pt>
                <c:pt idx="31">
                  <c:v>46113</c:v>
                </c:pt>
                <c:pt idx="32">
                  <c:v>46115</c:v>
                </c:pt>
                <c:pt idx="33">
                  <c:v>46117</c:v>
                </c:pt>
                <c:pt idx="34">
                  <c:v>46118</c:v>
                </c:pt>
                <c:pt idx="35">
                  <c:v>46118</c:v>
                </c:pt>
                <c:pt idx="36">
                  <c:v>46119</c:v>
                </c:pt>
                <c:pt idx="37">
                  <c:v>46121</c:v>
                </c:pt>
                <c:pt idx="38">
                  <c:v>46123</c:v>
                </c:pt>
                <c:pt idx="39">
                  <c:v>46123</c:v>
                </c:pt>
                <c:pt idx="40">
                  <c:v>46123</c:v>
                </c:pt>
                <c:pt idx="41">
                  <c:v>46124</c:v>
                </c:pt>
                <c:pt idx="42">
                  <c:v>46125</c:v>
                </c:pt>
                <c:pt idx="43">
                  <c:v>46127</c:v>
                </c:pt>
                <c:pt idx="44">
                  <c:v>46127</c:v>
                </c:pt>
                <c:pt idx="45">
                  <c:v>46129</c:v>
                </c:pt>
                <c:pt idx="46">
                  <c:v>46131</c:v>
                </c:pt>
                <c:pt idx="47">
                  <c:v>46132</c:v>
                </c:pt>
                <c:pt idx="48">
                  <c:v>46132</c:v>
                </c:pt>
                <c:pt idx="49">
                  <c:v>46134</c:v>
                </c:pt>
                <c:pt idx="50">
                  <c:v>46136</c:v>
                </c:pt>
                <c:pt idx="51">
                  <c:v>46137</c:v>
                </c:pt>
                <c:pt idx="52">
                  <c:v>46137</c:v>
                </c:pt>
                <c:pt idx="53">
                  <c:v>46137</c:v>
                </c:pt>
                <c:pt idx="54">
                  <c:v>46138</c:v>
                </c:pt>
                <c:pt idx="55">
                  <c:v>46139</c:v>
                </c:pt>
                <c:pt idx="56">
                  <c:v>46140</c:v>
                </c:pt>
                <c:pt idx="57">
                  <c:v>46140</c:v>
                </c:pt>
                <c:pt idx="58">
                  <c:v>46141</c:v>
                </c:pt>
                <c:pt idx="59">
                  <c:v>46142</c:v>
                </c:pt>
                <c:pt idx="60">
                  <c:v>46143</c:v>
                </c:pt>
                <c:pt idx="61">
                  <c:v>46143</c:v>
                </c:pt>
                <c:pt idx="62">
                  <c:v>46144</c:v>
                </c:pt>
                <c:pt idx="63">
                  <c:v>46145</c:v>
                </c:pt>
                <c:pt idx="64">
                  <c:v>46146</c:v>
                </c:pt>
                <c:pt idx="65">
                  <c:v>46146</c:v>
                </c:pt>
                <c:pt idx="66">
                  <c:v>46146</c:v>
                </c:pt>
                <c:pt idx="67">
                  <c:v>46147</c:v>
                </c:pt>
                <c:pt idx="68">
                  <c:v>46148</c:v>
                </c:pt>
                <c:pt idx="69">
                  <c:v>46148</c:v>
                </c:pt>
                <c:pt idx="70">
                  <c:v>46149</c:v>
                </c:pt>
                <c:pt idx="71">
                  <c:v>46149</c:v>
                </c:pt>
                <c:pt idx="72">
                  <c:v>46150</c:v>
                </c:pt>
                <c:pt idx="73">
                  <c:v>46150</c:v>
                </c:pt>
                <c:pt idx="74">
                  <c:v>46150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0-4685-9A22-71FEFCA93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3764447"/>
        <c:axId val="1119768303"/>
      </c:barChart>
      <c:barChart>
        <c:barDir val="bar"/>
        <c:grouping val="clustered"/>
        <c:varyColors val="0"/>
        <c:ser>
          <c:idx val="0"/>
          <c:order val="1"/>
          <c:tx>
            <c:strRef>
              <c:f>Hoja1!$D$1</c:f>
              <c:strCache>
                <c:ptCount val="1"/>
                <c:pt idx="0">
                  <c:v>Duración (en días)</c:v>
                </c:pt>
              </c:strCache>
            </c:strRef>
          </c:tx>
          <c:spPr>
            <a:solidFill>
              <a:sysClr val="window" lastClr="FFFFFF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Hoja1!$A$1:$A$77</c15:sqref>
                  </c15:fullRef>
                </c:ext>
              </c:extLst>
              <c:f>Hoja1!$A$2:$A$77</c:f>
              <c:strCache>
                <c:ptCount val="76"/>
                <c:pt idx="0">
                  <c:v>Inicio del Proyecto</c:v>
                </c:pt>
                <c:pt idx="1">
                  <c:v>Elaboración del Acta de Constitución</c:v>
                </c:pt>
                <c:pt idx="2">
                  <c:v>Definir objetivos del proyecto</c:v>
                </c:pt>
                <c:pt idx="3">
                  <c:v>Identificar stakeholders</c:v>
                </c:pt>
                <c:pt idx="4">
                  <c:v>Formalizar aprobación inicial</c:v>
                </c:pt>
                <c:pt idx="5">
                  <c:v>Definición del alcance y cronograma</c:v>
                </c:pt>
                <c:pt idx="6">
                  <c:v> Delimitar alcance del proyecto</c:v>
                </c:pt>
                <c:pt idx="7">
                  <c:v>Definir entregables principales</c:v>
                </c:pt>
                <c:pt idx="8">
                  <c:v>Establecer cronograma general</c:v>
                </c:pt>
                <c:pt idx="9">
                  <c:v>Planificación</c:v>
                </c:pt>
                <c:pt idx="10">
                  <c:v>Estimar recursos, costos y presupuestos</c:v>
                </c:pt>
                <c:pt idx="11">
                  <c:v>Definir recursos humanos</c:v>
                </c:pt>
                <c:pt idx="12">
                  <c:v>Estimar recursos tecnológicos</c:v>
                </c:pt>
                <c:pt idx="13">
                  <c:v>Calcular presupuesto total</c:v>
                </c:pt>
                <c:pt idx="14">
                  <c:v>Identificar riesgos</c:v>
                </c:pt>
                <c:pt idx="15">
                  <c:v>Listar riesgos técnicos</c:v>
                </c:pt>
                <c:pt idx="16">
                  <c:v>Analizar probabilidad e impacto</c:v>
                </c:pt>
                <c:pt idx="17">
                  <c:v>Definir estrategias de mitigación</c:v>
                </c:pt>
                <c:pt idx="18">
                  <c:v>Plan de comunicación y reuniones</c:v>
                </c:pt>
                <c:pt idx="19">
                  <c:v>Definir canales de comunicación</c:v>
                </c:pt>
                <c:pt idx="20">
                  <c:v>Establecer frecuencia de reuniones</c:v>
                </c:pt>
                <c:pt idx="21">
                  <c:v>Asignar responsables</c:v>
                </c:pt>
                <c:pt idx="22">
                  <c:v>Preparación y Análisis de Datos</c:v>
                </c:pt>
                <c:pt idx="23">
                  <c:v>Obtención del dataset</c:v>
                </c:pt>
                <c:pt idx="24">
                  <c:v>Buscar fuentes oficiales</c:v>
                </c:pt>
                <c:pt idx="25">
                  <c:v>Descargar datos históricos</c:v>
                </c:pt>
                <c:pt idx="26">
                  <c:v>Verificar integridad del dataset</c:v>
                </c:pt>
                <c:pt idx="27">
                  <c:v>Limpieza y depuración de datos</c:v>
                </c:pt>
                <c:pt idx="28">
                  <c:v>Eliminar valores nulos</c:v>
                </c:pt>
                <c:pt idx="29">
                  <c:v>Corregir inconsistencias</c:v>
                </c:pt>
                <c:pt idx="30">
                  <c:v>Normalizar datos</c:v>
                </c:pt>
                <c:pt idx="31">
                  <c:v>Análisis descriptivo (EDA)</c:v>
                </c:pt>
                <c:pt idx="32">
                  <c:v>Análisis estadístico</c:v>
                </c:pt>
                <c:pt idx="33">
                  <c:v>Identificación de patrones</c:v>
                </c:pt>
                <c:pt idx="34">
                  <c:v>Visualización de correlaciones</c:v>
                </c:pt>
                <c:pt idx="35">
                  <c:v>Selección y preparación de variables</c:v>
                </c:pt>
                <c:pt idx="36">
                  <c:v>Selección de variables relevantes</c:v>
                </c:pt>
                <c:pt idx="37">
                  <c:v>División train/test</c:v>
                </c:pt>
                <c:pt idx="38">
                  <c:v>Transformación de variables</c:v>
                </c:pt>
                <c:pt idx="39">
                  <c:v>Desarrollo del Modelo Predictivo</c:v>
                </c:pt>
                <c:pt idx="40">
                  <c:v>Diseño de arquitectura de red neuronal</c:v>
                </c:pt>
                <c:pt idx="41">
                  <c:v>Definir número de capas</c:v>
                </c:pt>
                <c:pt idx="42">
                  <c:v>Definir neuronas por capa</c:v>
                </c:pt>
                <c:pt idx="43">
                  <c:v>Seleccionar funciones de activación</c:v>
                </c:pt>
                <c:pt idx="44">
                  <c:v>Entrenamiento del modelo</c:v>
                </c:pt>
                <c:pt idx="45">
                  <c:v>Configurar hiperparámetros</c:v>
                </c:pt>
                <c:pt idx="46">
                  <c:v>Entrenar con datos históricos</c:v>
                </c:pt>
                <c:pt idx="47">
                  <c:v>Ajustar iteraciones</c:v>
                </c:pt>
                <c:pt idx="48">
                  <c:v>Evaluación y optimización</c:v>
                </c:pt>
                <c:pt idx="49">
                  <c:v>Calcular métricas de desempeño</c:v>
                </c:pt>
                <c:pt idx="50">
                  <c:v>Ajustar parámetros</c:v>
                </c:pt>
                <c:pt idx="51">
                  <c:v>Validar modelo final</c:v>
                </c:pt>
                <c:pt idx="52">
                  <c:v>Desarrollo de la Aplicación Web</c:v>
                </c:pt>
                <c:pt idx="53">
                  <c:v>Diseño de interfaz (Mockups)</c:v>
                </c:pt>
                <c:pt idx="54">
                  <c:v>Diseño visual</c:v>
                </c:pt>
                <c:pt idx="55">
                  <c:v>Definición de experiencia de usuario</c:v>
                </c:pt>
                <c:pt idx="56">
                  <c:v>Validación de prototipo</c:v>
                </c:pt>
                <c:pt idx="57">
                  <c:v>Desarrollo Frontend</c:v>
                </c:pt>
                <c:pt idx="58">
                  <c:v>Implementación interfaz responsiva</c:v>
                </c:pt>
                <c:pt idx="59">
                  <c:v>Conexión con API</c:v>
                </c:pt>
                <c:pt idx="60">
                  <c:v>Pruebas visuales</c:v>
                </c:pt>
                <c:pt idx="61">
                  <c:v>Desarrollo Backend e integración del modelo</c:v>
                </c:pt>
                <c:pt idx="62">
                  <c:v>Despliegue de la pagina</c:v>
                </c:pt>
                <c:pt idx="63">
                  <c:v>Integración del modelo predictivo</c:v>
                </c:pt>
                <c:pt idx="64">
                  <c:v>Pruebas de funcionamiento</c:v>
                </c:pt>
                <c:pt idx="65">
                  <c:v>Cierre del Proyecto</c:v>
                </c:pt>
                <c:pt idx="66">
                  <c:v>Documentación técnica y manual de usuario</c:v>
                </c:pt>
                <c:pt idx="67">
                  <c:v>Documentación del modelo</c:v>
                </c:pt>
                <c:pt idx="68">
                  <c:v>Manual de usuario</c:v>
                </c:pt>
                <c:pt idx="69">
                  <c:v>Informe final del proyecto</c:v>
                </c:pt>
                <c:pt idx="70">
                  <c:v>Redacción de resultados</c:v>
                </c:pt>
                <c:pt idx="71">
                  <c:v>Lecciones aprendidas</c:v>
                </c:pt>
                <c:pt idx="72">
                  <c:v>Conclusiones</c:v>
                </c:pt>
                <c:pt idx="73">
                  <c:v>Cierre formal del proyecto</c:v>
                </c:pt>
                <c:pt idx="74">
                  <c:v>Acta de cierre</c:v>
                </c:pt>
                <c:pt idx="75">
                  <c:v>Aprobación final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Hoja1!$D$2:$D$77</c15:sqref>
                  </c15:fullRef>
                </c:ext>
              </c:extLst>
              <c:f>Hoja1!$D$3:$D$77</c:f>
              <c:numCache>
                <c:formatCode>0</c:formatCode>
                <c:ptCount val="75"/>
                <c:pt idx="0">
                  <c:v>10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11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21</c:v>
                </c:pt>
                <c:pt idx="9">
                  <c:v>7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7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7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21</c:v>
                </c:pt>
                <c:pt idx="22">
                  <c:v>5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6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5</c:v>
                </c:pt>
                <c:pt idx="31">
                  <c:v>2</c:v>
                </c:pt>
                <c:pt idx="32">
                  <c:v>2</c:v>
                </c:pt>
                <c:pt idx="33">
                  <c:v>1</c:v>
                </c:pt>
                <c:pt idx="34">
                  <c:v>5</c:v>
                </c:pt>
                <c:pt idx="35">
                  <c:v>1</c:v>
                </c:pt>
                <c:pt idx="36">
                  <c:v>2</c:v>
                </c:pt>
                <c:pt idx="37">
                  <c:v>2</c:v>
                </c:pt>
                <c:pt idx="38">
                  <c:v>14</c:v>
                </c:pt>
                <c:pt idx="39">
                  <c:v>4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5</c:v>
                </c:pt>
                <c:pt idx="44">
                  <c:v>2</c:v>
                </c:pt>
                <c:pt idx="45">
                  <c:v>2</c:v>
                </c:pt>
                <c:pt idx="46">
                  <c:v>1</c:v>
                </c:pt>
                <c:pt idx="47">
                  <c:v>5</c:v>
                </c:pt>
                <c:pt idx="48">
                  <c:v>2</c:v>
                </c:pt>
                <c:pt idx="49">
                  <c:v>2</c:v>
                </c:pt>
                <c:pt idx="50">
                  <c:v>1</c:v>
                </c:pt>
                <c:pt idx="51">
                  <c:v>9</c:v>
                </c:pt>
                <c:pt idx="52">
                  <c:v>3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3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3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5</c:v>
                </c:pt>
                <c:pt idx="65">
                  <c:v>2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A0-4685-9A22-71FEFCA93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9242144"/>
        <c:axId val="669254144"/>
      </c:barChart>
      <c:catAx>
        <c:axId val="8837644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19768303"/>
        <c:crosses val="autoZero"/>
        <c:auto val="1"/>
        <c:lblAlgn val="ctr"/>
        <c:lblOffset val="100"/>
        <c:noMultiLvlLbl val="0"/>
      </c:catAx>
      <c:valAx>
        <c:axId val="1119768303"/>
        <c:scaling>
          <c:orientation val="minMax"/>
          <c:min val="460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83764447"/>
        <c:crosses val="autoZero"/>
        <c:crossBetween val="between"/>
        <c:majorUnit val="10"/>
      </c:valAx>
      <c:valAx>
        <c:axId val="66925414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9242144"/>
        <c:crosses val="autoZero"/>
        <c:crossBetween val="between"/>
        <c:majorUnit val="1"/>
      </c:valAx>
      <c:catAx>
        <c:axId val="6692421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69254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508443829011548"/>
          <c:y val="5.977179130624994E-2"/>
          <c:w val="0.78554936284254628"/>
          <c:h val="0.92434548571970399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Hoja1!$B$1</c:f>
              <c:strCache>
                <c:ptCount val="1"/>
                <c:pt idx="0">
                  <c:v>Fecha  inicio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Hoja1!$A$1:$A$77</c15:sqref>
                  </c15:fullRef>
                </c:ext>
              </c:extLst>
              <c:f>Hoja1!$A$2:$A$77</c:f>
              <c:strCache>
                <c:ptCount val="76"/>
                <c:pt idx="0">
                  <c:v>Inicio del Proyecto</c:v>
                </c:pt>
                <c:pt idx="1">
                  <c:v>Elaboración del Acta de Constitución</c:v>
                </c:pt>
                <c:pt idx="2">
                  <c:v>Definir objetivos del proyecto</c:v>
                </c:pt>
                <c:pt idx="3">
                  <c:v>Identificar stakeholders</c:v>
                </c:pt>
                <c:pt idx="4">
                  <c:v>Formalizar aprobación inicial</c:v>
                </c:pt>
                <c:pt idx="5">
                  <c:v>Definición del alcance y cronograma</c:v>
                </c:pt>
                <c:pt idx="6">
                  <c:v> Delimitar alcance del proyecto</c:v>
                </c:pt>
                <c:pt idx="7">
                  <c:v>Definir entregables principales</c:v>
                </c:pt>
                <c:pt idx="8">
                  <c:v>Establecer cronograma general</c:v>
                </c:pt>
                <c:pt idx="9">
                  <c:v>Planificación</c:v>
                </c:pt>
                <c:pt idx="10">
                  <c:v>Estimar recursos, costos y presupuestos</c:v>
                </c:pt>
                <c:pt idx="11">
                  <c:v>Definir recursos humanos</c:v>
                </c:pt>
                <c:pt idx="12">
                  <c:v>Estimar recursos tecnológicos</c:v>
                </c:pt>
                <c:pt idx="13">
                  <c:v>Calcular presupuesto total</c:v>
                </c:pt>
                <c:pt idx="14">
                  <c:v>Identificar riesgos</c:v>
                </c:pt>
                <c:pt idx="15">
                  <c:v>Listar riesgos técnicos</c:v>
                </c:pt>
                <c:pt idx="16">
                  <c:v>Analizar probabilidad e impacto</c:v>
                </c:pt>
                <c:pt idx="17">
                  <c:v>Definir estrategias de mitigación</c:v>
                </c:pt>
                <c:pt idx="18">
                  <c:v>Plan de comunicación y reuniones</c:v>
                </c:pt>
                <c:pt idx="19">
                  <c:v>Definir canales de comunicación</c:v>
                </c:pt>
                <c:pt idx="20">
                  <c:v>Establecer frecuencia de reuniones</c:v>
                </c:pt>
                <c:pt idx="21">
                  <c:v>Asignar responsables</c:v>
                </c:pt>
                <c:pt idx="22">
                  <c:v>Preparación y Análisis de Datos</c:v>
                </c:pt>
                <c:pt idx="23">
                  <c:v>Obtención del dataset</c:v>
                </c:pt>
                <c:pt idx="24">
                  <c:v>Buscar fuentes oficiales</c:v>
                </c:pt>
                <c:pt idx="25">
                  <c:v>Descargar datos históricos</c:v>
                </c:pt>
                <c:pt idx="26">
                  <c:v>Verificar integridad del dataset</c:v>
                </c:pt>
                <c:pt idx="27">
                  <c:v>Limpieza y depuración de datos</c:v>
                </c:pt>
                <c:pt idx="28">
                  <c:v>Eliminar valores nulos</c:v>
                </c:pt>
                <c:pt idx="29">
                  <c:v>Corregir inconsistencias</c:v>
                </c:pt>
                <c:pt idx="30">
                  <c:v>Normalizar datos</c:v>
                </c:pt>
                <c:pt idx="31">
                  <c:v>Análisis descriptivo (EDA)</c:v>
                </c:pt>
                <c:pt idx="32">
                  <c:v>Análisis estadístico</c:v>
                </c:pt>
                <c:pt idx="33">
                  <c:v>Identificación de patrones</c:v>
                </c:pt>
                <c:pt idx="34">
                  <c:v>Visualización de correlaciones</c:v>
                </c:pt>
                <c:pt idx="35">
                  <c:v>Selección y preparación de variables</c:v>
                </c:pt>
                <c:pt idx="36">
                  <c:v>Selección de variables relevantes</c:v>
                </c:pt>
                <c:pt idx="37">
                  <c:v>División train/test</c:v>
                </c:pt>
                <c:pt idx="38">
                  <c:v>Transformación de variables</c:v>
                </c:pt>
                <c:pt idx="39">
                  <c:v>Desarrollo del Modelo Predictivo</c:v>
                </c:pt>
                <c:pt idx="40">
                  <c:v>Diseño de arquitectura de red neuronal</c:v>
                </c:pt>
                <c:pt idx="41">
                  <c:v>Definir número de capas</c:v>
                </c:pt>
                <c:pt idx="42">
                  <c:v>Definir neuronas por capa</c:v>
                </c:pt>
                <c:pt idx="43">
                  <c:v>Seleccionar funciones de activación</c:v>
                </c:pt>
                <c:pt idx="44">
                  <c:v>Entrenamiento del modelo</c:v>
                </c:pt>
                <c:pt idx="45">
                  <c:v>Configurar hiperparámetros</c:v>
                </c:pt>
                <c:pt idx="46">
                  <c:v>Entrenar con datos históricos</c:v>
                </c:pt>
                <c:pt idx="47">
                  <c:v>Ajustar iteraciones</c:v>
                </c:pt>
                <c:pt idx="48">
                  <c:v>Evaluación y optimización</c:v>
                </c:pt>
                <c:pt idx="49">
                  <c:v>Calcular métricas de desempeño</c:v>
                </c:pt>
                <c:pt idx="50">
                  <c:v>Ajustar parámetros</c:v>
                </c:pt>
                <c:pt idx="51">
                  <c:v>Validar modelo final</c:v>
                </c:pt>
                <c:pt idx="52">
                  <c:v>Desarrollo de la Aplicación Web</c:v>
                </c:pt>
                <c:pt idx="53">
                  <c:v>Diseño de interfaz (Mockups)</c:v>
                </c:pt>
                <c:pt idx="54">
                  <c:v>Diseño visual</c:v>
                </c:pt>
                <c:pt idx="55">
                  <c:v>Definición de experiencia de usuario</c:v>
                </c:pt>
                <c:pt idx="56">
                  <c:v>Validación de prototipo</c:v>
                </c:pt>
                <c:pt idx="57">
                  <c:v>Desarrollo Frontend</c:v>
                </c:pt>
                <c:pt idx="58">
                  <c:v>Implementación interfaz responsiva</c:v>
                </c:pt>
                <c:pt idx="59">
                  <c:v>Conexión con API</c:v>
                </c:pt>
                <c:pt idx="60">
                  <c:v>Pruebas visuales</c:v>
                </c:pt>
                <c:pt idx="61">
                  <c:v>Desarrollo Backend e integración del modelo</c:v>
                </c:pt>
                <c:pt idx="62">
                  <c:v>Despliegue de la pagina</c:v>
                </c:pt>
                <c:pt idx="63">
                  <c:v>Integración del modelo predictivo</c:v>
                </c:pt>
                <c:pt idx="64">
                  <c:v>Pruebas de funcionamiento</c:v>
                </c:pt>
                <c:pt idx="65">
                  <c:v>Cierre del Proyecto</c:v>
                </c:pt>
                <c:pt idx="66">
                  <c:v>Documentación técnica y manual de usuario</c:v>
                </c:pt>
                <c:pt idx="67">
                  <c:v>Documentación del modelo</c:v>
                </c:pt>
                <c:pt idx="68">
                  <c:v>Manual de usuario</c:v>
                </c:pt>
                <c:pt idx="69">
                  <c:v>Informe final del proyecto</c:v>
                </c:pt>
                <c:pt idx="70">
                  <c:v>Redacción de resultados</c:v>
                </c:pt>
                <c:pt idx="71">
                  <c:v>Lecciones aprendidas</c:v>
                </c:pt>
                <c:pt idx="72">
                  <c:v>Conclusiones</c:v>
                </c:pt>
                <c:pt idx="73">
                  <c:v>Cierre formal del proyecto</c:v>
                </c:pt>
                <c:pt idx="74">
                  <c:v>Acta de cierre</c:v>
                </c:pt>
                <c:pt idx="75">
                  <c:v>Aprobación final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Hoja1!$B$2:$B$77</c15:sqref>
                  </c15:fullRef>
                </c:ext>
              </c:extLst>
              <c:f>Hoja1!$B$3:$B$77</c:f>
              <c:numCache>
                <c:formatCode>m/d/yyyy</c:formatCode>
                <c:ptCount val="75"/>
                <c:pt idx="0">
                  <c:v>46060</c:v>
                </c:pt>
                <c:pt idx="1">
                  <c:v>46060</c:v>
                </c:pt>
                <c:pt idx="2">
                  <c:v>46062</c:v>
                </c:pt>
                <c:pt idx="3">
                  <c:v>46065</c:v>
                </c:pt>
                <c:pt idx="4">
                  <c:v>46070</c:v>
                </c:pt>
                <c:pt idx="5">
                  <c:v>46070</c:v>
                </c:pt>
                <c:pt idx="6">
                  <c:v>46074</c:v>
                </c:pt>
                <c:pt idx="7">
                  <c:v>46077</c:v>
                </c:pt>
                <c:pt idx="8">
                  <c:v>46081</c:v>
                </c:pt>
                <c:pt idx="9">
                  <c:v>46081</c:v>
                </c:pt>
                <c:pt idx="10">
                  <c:v>46081</c:v>
                </c:pt>
                <c:pt idx="11">
                  <c:v>46083</c:v>
                </c:pt>
                <c:pt idx="12">
                  <c:v>46085</c:v>
                </c:pt>
                <c:pt idx="13">
                  <c:v>46088</c:v>
                </c:pt>
                <c:pt idx="14">
                  <c:v>46088</c:v>
                </c:pt>
                <c:pt idx="15">
                  <c:v>46090</c:v>
                </c:pt>
                <c:pt idx="16">
                  <c:v>46093</c:v>
                </c:pt>
                <c:pt idx="17">
                  <c:v>46095</c:v>
                </c:pt>
                <c:pt idx="18">
                  <c:v>46095</c:v>
                </c:pt>
                <c:pt idx="19">
                  <c:v>46097</c:v>
                </c:pt>
                <c:pt idx="20">
                  <c:v>46099</c:v>
                </c:pt>
                <c:pt idx="21">
                  <c:v>46102</c:v>
                </c:pt>
                <c:pt idx="22">
                  <c:v>46102</c:v>
                </c:pt>
                <c:pt idx="23">
                  <c:v>46102</c:v>
                </c:pt>
                <c:pt idx="24">
                  <c:v>46104</c:v>
                </c:pt>
                <c:pt idx="25">
                  <c:v>46106</c:v>
                </c:pt>
                <c:pt idx="26">
                  <c:v>46107</c:v>
                </c:pt>
                <c:pt idx="27">
                  <c:v>46107</c:v>
                </c:pt>
                <c:pt idx="28">
                  <c:v>46109</c:v>
                </c:pt>
                <c:pt idx="29">
                  <c:v>46111</c:v>
                </c:pt>
                <c:pt idx="30">
                  <c:v>46113</c:v>
                </c:pt>
                <c:pt idx="31">
                  <c:v>46113</c:v>
                </c:pt>
                <c:pt idx="32">
                  <c:v>46115</c:v>
                </c:pt>
                <c:pt idx="33">
                  <c:v>46117</c:v>
                </c:pt>
                <c:pt idx="34">
                  <c:v>46118</c:v>
                </c:pt>
                <c:pt idx="35">
                  <c:v>46118</c:v>
                </c:pt>
                <c:pt idx="36">
                  <c:v>46119</c:v>
                </c:pt>
                <c:pt idx="37">
                  <c:v>46121</c:v>
                </c:pt>
                <c:pt idx="38">
                  <c:v>46123</c:v>
                </c:pt>
                <c:pt idx="39">
                  <c:v>46123</c:v>
                </c:pt>
                <c:pt idx="40">
                  <c:v>46123</c:v>
                </c:pt>
                <c:pt idx="41">
                  <c:v>46124</c:v>
                </c:pt>
                <c:pt idx="42">
                  <c:v>46125</c:v>
                </c:pt>
                <c:pt idx="43">
                  <c:v>46127</c:v>
                </c:pt>
                <c:pt idx="44">
                  <c:v>46127</c:v>
                </c:pt>
                <c:pt idx="45">
                  <c:v>46129</c:v>
                </c:pt>
                <c:pt idx="46">
                  <c:v>46131</c:v>
                </c:pt>
                <c:pt idx="47">
                  <c:v>46132</c:v>
                </c:pt>
                <c:pt idx="48">
                  <c:v>46132</c:v>
                </c:pt>
                <c:pt idx="49">
                  <c:v>46134</c:v>
                </c:pt>
                <c:pt idx="50">
                  <c:v>46136</c:v>
                </c:pt>
                <c:pt idx="51">
                  <c:v>46137</c:v>
                </c:pt>
                <c:pt idx="52">
                  <c:v>46137</c:v>
                </c:pt>
                <c:pt idx="53">
                  <c:v>46137</c:v>
                </c:pt>
                <c:pt idx="54">
                  <c:v>46138</c:v>
                </c:pt>
                <c:pt idx="55">
                  <c:v>46139</c:v>
                </c:pt>
                <c:pt idx="56">
                  <c:v>46140</c:v>
                </c:pt>
                <c:pt idx="57">
                  <c:v>46140</c:v>
                </c:pt>
                <c:pt idx="58">
                  <c:v>46141</c:v>
                </c:pt>
                <c:pt idx="59">
                  <c:v>46142</c:v>
                </c:pt>
                <c:pt idx="60">
                  <c:v>46143</c:v>
                </c:pt>
                <c:pt idx="61">
                  <c:v>46143</c:v>
                </c:pt>
                <c:pt idx="62">
                  <c:v>46144</c:v>
                </c:pt>
                <c:pt idx="63">
                  <c:v>46145</c:v>
                </c:pt>
                <c:pt idx="64">
                  <c:v>46146</c:v>
                </c:pt>
                <c:pt idx="65">
                  <c:v>46146</c:v>
                </c:pt>
                <c:pt idx="66">
                  <c:v>46146</c:v>
                </c:pt>
                <c:pt idx="67">
                  <c:v>46147</c:v>
                </c:pt>
                <c:pt idx="68">
                  <c:v>46148</c:v>
                </c:pt>
                <c:pt idx="69">
                  <c:v>46148</c:v>
                </c:pt>
                <c:pt idx="70">
                  <c:v>46149</c:v>
                </c:pt>
                <c:pt idx="71">
                  <c:v>46149</c:v>
                </c:pt>
                <c:pt idx="72">
                  <c:v>46150</c:v>
                </c:pt>
                <c:pt idx="73">
                  <c:v>46150</c:v>
                </c:pt>
                <c:pt idx="74">
                  <c:v>46150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AA9-4C77-A006-5E8650079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3764447"/>
        <c:axId val="1119768303"/>
      </c:barChart>
      <c:barChart>
        <c:barDir val="bar"/>
        <c:grouping val="clustered"/>
        <c:varyColors val="0"/>
        <c:ser>
          <c:idx val="0"/>
          <c:order val="1"/>
          <c:tx>
            <c:strRef>
              <c:f>Hoja1!$D$1</c:f>
              <c:strCache>
                <c:ptCount val="1"/>
                <c:pt idx="0">
                  <c:v>Duración (en días)</c:v>
                </c:pt>
              </c:strCache>
            </c:strRef>
          </c:tx>
          <c:spPr>
            <a:solidFill>
              <a:sysClr val="window" lastClr="FFFFFF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Hoja1!$A$1:$A$77</c15:sqref>
                  </c15:fullRef>
                </c:ext>
              </c:extLst>
              <c:f>Hoja1!$A$2:$A$77</c:f>
              <c:strCache>
                <c:ptCount val="76"/>
                <c:pt idx="0">
                  <c:v>Inicio del Proyecto</c:v>
                </c:pt>
                <c:pt idx="1">
                  <c:v>Elaboración del Acta de Constitución</c:v>
                </c:pt>
                <c:pt idx="2">
                  <c:v>Definir objetivos del proyecto</c:v>
                </c:pt>
                <c:pt idx="3">
                  <c:v>Identificar stakeholders</c:v>
                </c:pt>
                <c:pt idx="4">
                  <c:v>Formalizar aprobación inicial</c:v>
                </c:pt>
                <c:pt idx="5">
                  <c:v>Definición del alcance y cronograma</c:v>
                </c:pt>
                <c:pt idx="6">
                  <c:v> Delimitar alcance del proyecto</c:v>
                </c:pt>
                <c:pt idx="7">
                  <c:v>Definir entregables principales</c:v>
                </c:pt>
                <c:pt idx="8">
                  <c:v>Establecer cronograma general</c:v>
                </c:pt>
                <c:pt idx="9">
                  <c:v>Planificación</c:v>
                </c:pt>
                <c:pt idx="10">
                  <c:v>Estimar recursos, costos y presupuestos</c:v>
                </c:pt>
                <c:pt idx="11">
                  <c:v>Definir recursos humanos</c:v>
                </c:pt>
                <c:pt idx="12">
                  <c:v>Estimar recursos tecnológicos</c:v>
                </c:pt>
                <c:pt idx="13">
                  <c:v>Calcular presupuesto total</c:v>
                </c:pt>
                <c:pt idx="14">
                  <c:v>Identificar riesgos</c:v>
                </c:pt>
                <c:pt idx="15">
                  <c:v>Listar riesgos técnicos</c:v>
                </c:pt>
                <c:pt idx="16">
                  <c:v>Analizar probabilidad e impacto</c:v>
                </c:pt>
                <c:pt idx="17">
                  <c:v>Definir estrategias de mitigación</c:v>
                </c:pt>
                <c:pt idx="18">
                  <c:v>Plan de comunicación y reuniones</c:v>
                </c:pt>
                <c:pt idx="19">
                  <c:v>Definir canales de comunicación</c:v>
                </c:pt>
                <c:pt idx="20">
                  <c:v>Establecer frecuencia de reuniones</c:v>
                </c:pt>
                <c:pt idx="21">
                  <c:v>Asignar responsables</c:v>
                </c:pt>
                <c:pt idx="22">
                  <c:v>Preparación y Análisis de Datos</c:v>
                </c:pt>
                <c:pt idx="23">
                  <c:v>Obtención del dataset</c:v>
                </c:pt>
                <c:pt idx="24">
                  <c:v>Buscar fuentes oficiales</c:v>
                </c:pt>
                <c:pt idx="25">
                  <c:v>Descargar datos históricos</c:v>
                </c:pt>
                <c:pt idx="26">
                  <c:v>Verificar integridad del dataset</c:v>
                </c:pt>
                <c:pt idx="27">
                  <c:v>Limpieza y depuración de datos</c:v>
                </c:pt>
                <c:pt idx="28">
                  <c:v>Eliminar valores nulos</c:v>
                </c:pt>
                <c:pt idx="29">
                  <c:v>Corregir inconsistencias</c:v>
                </c:pt>
                <c:pt idx="30">
                  <c:v>Normalizar datos</c:v>
                </c:pt>
                <c:pt idx="31">
                  <c:v>Análisis descriptivo (EDA)</c:v>
                </c:pt>
                <c:pt idx="32">
                  <c:v>Análisis estadístico</c:v>
                </c:pt>
                <c:pt idx="33">
                  <c:v>Identificación de patrones</c:v>
                </c:pt>
                <c:pt idx="34">
                  <c:v>Visualización de correlaciones</c:v>
                </c:pt>
                <c:pt idx="35">
                  <c:v>Selección y preparación de variables</c:v>
                </c:pt>
                <c:pt idx="36">
                  <c:v>Selección de variables relevantes</c:v>
                </c:pt>
                <c:pt idx="37">
                  <c:v>División train/test</c:v>
                </c:pt>
                <c:pt idx="38">
                  <c:v>Transformación de variables</c:v>
                </c:pt>
                <c:pt idx="39">
                  <c:v>Desarrollo del Modelo Predictivo</c:v>
                </c:pt>
                <c:pt idx="40">
                  <c:v>Diseño de arquitectura de red neuronal</c:v>
                </c:pt>
                <c:pt idx="41">
                  <c:v>Definir número de capas</c:v>
                </c:pt>
                <c:pt idx="42">
                  <c:v>Definir neuronas por capa</c:v>
                </c:pt>
                <c:pt idx="43">
                  <c:v>Seleccionar funciones de activación</c:v>
                </c:pt>
                <c:pt idx="44">
                  <c:v>Entrenamiento del modelo</c:v>
                </c:pt>
                <c:pt idx="45">
                  <c:v>Configurar hiperparámetros</c:v>
                </c:pt>
                <c:pt idx="46">
                  <c:v>Entrenar con datos históricos</c:v>
                </c:pt>
                <c:pt idx="47">
                  <c:v>Ajustar iteraciones</c:v>
                </c:pt>
                <c:pt idx="48">
                  <c:v>Evaluación y optimización</c:v>
                </c:pt>
                <c:pt idx="49">
                  <c:v>Calcular métricas de desempeño</c:v>
                </c:pt>
                <c:pt idx="50">
                  <c:v>Ajustar parámetros</c:v>
                </c:pt>
                <c:pt idx="51">
                  <c:v>Validar modelo final</c:v>
                </c:pt>
                <c:pt idx="52">
                  <c:v>Desarrollo de la Aplicación Web</c:v>
                </c:pt>
                <c:pt idx="53">
                  <c:v>Diseño de interfaz (Mockups)</c:v>
                </c:pt>
                <c:pt idx="54">
                  <c:v>Diseño visual</c:v>
                </c:pt>
                <c:pt idx="55">
                  <c:v>Definición de experiencia de usuario</c:v>
                </c:pt>
                <c:pt idx="56">
                  <c:v>Validación de prototipo</c:v>
                </c:pt>
                <c:pt idx="57">
                  <c:v>Desarrollo Frontend</c:v>
                </c:pt>
                <c:pt idx="58">
                  <c:v>Implementación interfaz responsiva</c:v>
                </c:pt>
                <c:pt idx="59">
                  <c:v>Conexión con API</c:v>
                </c:pt>
                <c:pt idx="60">
                  <c:v>Pruebas visuales</c:v>
                </c:pt>
                <c:pt idx="61">
                  <c:v>Desarrollo Backend e integración del modelo</c:v>
                </c:pt>
                <c:pt idx="62">
                  <c:v>Despliegue de la pagina</c:v>
                </c:pt>
                <c:pt idx="63">
                  <c:v>Integración del modelo predictivo</c:v>
                </c:pt>
                <c:pt idx="64">
                  <c:v>Pruebas de funcionamiento</c:v>
                </c:pt>
                <c:pt idx="65">
                  <c:v>Cierre del Proyecto</c:v>
                </c:pt>
                <c:pt idx="66">
                  <c:v>Documentación técnica y manual de usuario</c:v>
                </c:pt>
                <c:pt idx="67">
                  <c:v>Documentación del modelo</c:v>
                </c:pt>
                <c:pt idx="68">
                  <c:v>Manual de usuario</c:v>
                </c:pt>
                <c:pt idx="69">
                  <c:v>Informe final del proyecto</c:v>
                </c:pt>
                <c:pt idx="70">
                  <c:v>Redacción de resultados</c:v>
                </c:pt>
                <c:pt idx="71">
                  <c:v>Lecciones aprendidas</c:v>
                </c:pt>
                <c:pt idx="72">
                  <c:v>Conclusiones</c:v>
                </c:pt>
                <c:pt idx="73">
                  <c:v>Cierre formal del proyecto</c:v>
                </c:pt>
                <c:pt idx="74">
                  <c:v>Acta de cierre</c:v>
                </c:pt>
                <c:pt idx="75">
                  <c:v>Aprobación final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Hoja1!$D$2:$D$77</c15:sqref>
                  </c15:fullRef>
                </c:ext>
              </c:extLst>
              <c:f>Hoja1!$D$3:$D$77</c:f>
              <c:numCache>
                <c:formatCode>0</c:formatCode>
                <c:ptCount val="75"/>
                <c:pt idx="0">
                  <c:v>10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11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21</c:v>
                </c:pt>
                <c:pt idx="9">
                  <c:v>7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7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7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21</c:v>
                </c:pt>
                <c:pt idx="22">
                  <c:v>5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6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5</c:v>
                </c:pt>
                <c:pt idx="31">
                  <c:v>2</c:v>
                </c:pt>
                <c:pt idx="32">
                  <c:v>2</c:v>
                </c:pt>
                <c:pt idx="33">
                  <c:v>1</c:v>
                </c:pt>
                <c:pt idx="34">
                  <c:v>5</c:v>
                </c:pt>
                <c:pt idx="35">
                  <c:v>1</c:v>
                </c:pt>
                <c:pt idx="36">
                  <c:v>2</c:v>
                </c:pt>
                <c:pt idx="37">
                  <c:v>2</c:v>
                </c:pt>
                <c:pt idx="38">
                  <c:v>14</c:v>
                </c:pt>
                <c:pt idx="39">
                  <c:v>4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5</c:v>
                </c:pt>
                <c:pt idx="44">
                  <c:v>2</c:v>
                </c:pt>
                <c:pt idx="45">
                  <c:v>2</c:v>
                </c:pt>
                <c:pt idx="46">
                  <c:v>1</c:v>
                </c:pt>
                <c:pt idx="47">
                  <c:v>5</c:v>
                </c:pt>
                <c:pt idx="48">
                  <c:v>2</c:v>
                </c:pt>
                <c:pt idx="49">
                  <c:v>2</c:v>
                </c:pt>
                <c:pt idx="50">
                  <c:v>1</c:v>
                </c:pt>
                <c:pt idx="51">
                  <c:v>9</c:v>
                </c:pt>
                <c:pt idx="52">
                  <c:v>3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3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3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5</c:v>
                </c:pt>
                <c:pt idx="65">
                  <c:v>2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A9-4C77-A006-5E8650079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9242144"/>
        <c:axId val="669254144"/>
      </c:barChart>
      <c:catAx>
        <c:axId val="8837644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19768303"/>
        <c:crosses val="autoZero"/>
        <c:auto val="1"/>
        <c:lblAlgn val="ctr"/>
        <c:lblOffset val="100"/>
        <c:noMultiLvlLbl val="0"/>
      </c:catAx>
      <c:valAx>
        <c:axId val="1119768303"/>
        <c:scaling>
          <c:orientation val="minMax"/>
          <c:min val="460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83764447"/>
        <c:crosses val="autoZero"/>
        <c:crossBetween val="between"/>
        <c:majorUnit val="10"/>
      </c:valAx>
      <c:valAx>
        <c:axId val="66925414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9242144"/>
        <c:crosses val="autoZero"/>
        <c:crossBetween val="between"/>
        <c:majorUnit val="1"/>
      </c:valAx>
      <c:catAx>
        <c:axId val="6692421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69254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228602</xdr:colOff>
      <xdr:row>89</xdr:row>
      <xdr:rowOff>43542</xdr:rowOff>
    </xdr:from>
    <xdr:to>
      <xdr:col>8</xdr:col>
      <xdr:colOff>3481189</xdr:colOff>
      <xdr:row>143</xdr:row>
      <xdr:rowOff>21835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4AA15D-7E60-4053-B436-6D1ABE3377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198120</xdr:colOff>
      <xdr:row>65</xdr:row>
      <xdr:rowOff>106680</xdr:rowOff>
    </xdr:from>
    <xdr:to>
      <xdr:col>18</xdr:col>
      <xdr:colOff>693420</xdr:colOff>
      <xdr:row>92</xdr:row>
      <xdr:rowOff>99060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31EB47F-F9A9-C107-F3FA-4F8B79641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JV1129"/>
  <sheetViews>
    <sheetView showGridLines="0" tabSelected="1" topLeftCell="B1" zoomScale="70" zoomScaleNormal="70" workbookViewId="0">
      <pane ySplit="1" topLeftCell="A2" activePane="bottomLeft" state="frozen"/>
      <selection pane="bottomLeft" activeCell="O25" sqref="O25"/>
    </sheetView>
  </sheetViews>
  <sheetFormatPr baseColWidth="10" defaultColWidth="11" defaultRowHeight="13.2" outlineLevelRow="1" x14ac:dyDescent="0.25"/>
  <cols>
    <col min="1" max="1" width="3.3984375" style="4" customWidth="1"/>
    <col min="2" max="2" width="7.8984375" style="4" customWidth="1"/>
    <col min="3" max="3" width="57" style="4" bestFit="1" customWidth="1"/>
    <col min="4" max="4" width="12.8984375" style="4" customWidth="1"/>
    <col min="5" max="5" width="20.8984375" style="4" customWidth="1"/>
    <col min="6" max="7" width="8.8984375" style="4" customWidth="1"/>
    <col min="8" max="8" width="11.8984375" style="4" customWidth="1"/>
    <col min="9" max="9" width="50.8984375" style="4" customWidth="1"/>
    <col min="10" max="10" width="3.3984375" style="4" customWidth="1"/>
    <col min="11" max="11" width="12.8984375" style="4" customWidth="1"/>
    <col min="12" max="17" width="11" style="4"/>
    <col min="18" max="18" width="9" style="4" customWidth="1"/>
    <col min="19" max="16384" width="11" style="4"/>
  </cols>
  <sheetData>
    <row r="1" spans="1:258" ht="57" customHeight="1" x14ac:dyDescent="0.3">
      <c r="A1" s="1"/>
      <c r="B1" s="62" t="s">
        <v>19</v>
      </c>
      <c r="D1"/>
      <c r="E1"/>
      <c r="F1"/>
      <c r="G1"/>
      <c r="H1"/>
      <c r="I1"/>
      <c r="J1" s="1"/>
      <c r="K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s="14" customFormat="1" ht="18" customHeight="1" x14ac:dyDescent="0.3">
      <c r="A2" s="13"/>
      <c r="B2" s="13"/>
      <c r="C2" s="13" t="s">
        <v>9</v>
      </c>
      <c r="D2" s="13"/>
      <c r="E2" s="13" t="s">
        <v>11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</row>
    <row r="3" spans="1:258" ht="30" customHeight="1" thickBot="1" x14ac:dyDescent="0.3">
      <c r="A3" s="1"/>
      <c r="B3" s="1"/>
      <c r="C3" s="37" t="s">
        <v>19</v>
      </c>
      <c r="D3" s="1"/>
      <c r="E3" s="60">
        <v>46060</v>
      </c>
      <c r="F3" s="1"/>
      <c r="G3" s="1"/>
      <c r="H3" s="1" t="s">
        <v>13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</row>
    <row r="4" spans="1:258" s="14" customFormat="1" ht="18" customHeight="1" thickBot="1" x14ac:dyDescent="0.35">
      <c r="A4" s="13"/>
      <c r="B4" s="13"/>
      <c r="C4" s="38" t="s">
        <v>10</v>
      </c>
      <c r="D4" s="13"/>
      <c r="E4" s="38" t="s">
        <v>12</v>
      </c>
      <c r="F4" s="13"/>
      <c r="G4" s="13"/>
      <c r="H4" s="13" t="s">
        <v>14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</row>
    <row r="5" spans="1:258" ht="30" customHeight="1" thickBot="1" x14ac:dyDescent="0.3">
      <c r="A5" s="1"/>
      <c r="B5" s="1"/>
      <c r="C5" s="59" t="s">
        <v>20</v>
      </c>
      <c r="D5" s="1"/>
      <c r="E5" s="60">
        <v>46172</v>
      </c>
      <c r="F5" s="1"/>
      <c r="G5" s="1"/>
      <c r="H5" s="61">
        <f>IF(E3=0,0,E5-E3)+1</f>
        <v>113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x14ac:dyDescent="0.25">
      <c r="A6" s="1"/>
      <c r="B6" s="1"/>
      <c r="C6" s="1"/>
      <c r="D6" s="1"/>
      <c r="E6" s="39"/>
      <c r="F6" s="1"/>
      <c r="G6" s="1"/>
      <c r="H6" s="3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s="8" customFormat="1" ht="35.1" customHeight="1" thickBot="1" x14ac:dyDescent="0.35">
      <c r="A7" s="7"/>
      <c r="B7" s="41" t="s">
        <v>1</v>
      </c>
      <c r="C7" s="41" t="s">
        <v>2</v>
      </c>
      <c r="D7" s="41" t="s">
        <v>3</v>
      </c>
      <c r="E7" s="41" t="s">
        <v>4</v>
      </c>
      <c r="F7" s="44" t="s">
        <v>5</v>
      </c>
      <c r="G7" s="45" t="s">
        <v>6</v>
      </c>
      <c r="H7" s="41" t="s">
        <v>7</v>
      </c>
      <c r="I7" s="41" t="s">
        <v>8</v>
      </c>
      <c r="J7" s="7"/>
      <c r="K7" s="65" t="s">
        <v>3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</row>
    <row r="8" spans="1:258" s="6" customFormat="1" ht="24.9" customHeight="1" x14ac:dyDescent="0.3">
      <c r="A8" s="5"/>
      <c r="B8" s="40">
        <v>1</v>
      </c>
      <c r="C8" s="66" t="s">
        <v>21</v>
      </c>
      <c r="D8" s="42"/>
      <c r="E8" s="42"/>
      <c r="F8" s="43">
        <v>46060</v>
      </c>
      <c r="G8" s="46">
        <v>46080</v>
      </c>
      <c r="H8" s="47">
        <f>IF(F8=0,0,G8-F8)+1</f>
        <v>21</v>
      </c>
      <c r="I8" s="48"/>
      <c r="J8" s="5"/>
      <c r="K8" s="64" t="s">
        <v>17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</row>
    <row r="9" spans="1:258" s="6" customFormat="1" ht="24.9" customHeight="1" outlineLevel="1" x14ac:dyDescent="0.3">
      <c r="A9" s="5"/>
      <c r="B9" s="2">
        <v>1.1000000000000001</v>
      </c>
      <c r="C9" s="73" t="s">
        <v>25</v>
      </c>
      <c r="D9" s="3" t="s">
        <v>15</v>
      </c>
      <c r="E9" s="91" t="s">
        <v>145</v>
      </c>
      <c r="F9" s="49">
        <v>46060</v>
      </c>
      <c r="G9" s="49">
        <v>46069</v>
      </c>
      <c r="H9" s="53">
        <f>IF(F9=0,0,G9-F9)+1</f>
        <v>10</v>
      </c>
      <c r="I9" s="2"/>
      <c r="J9" s="5"/>
      <c r="K9" s="63" t="s">
        <v>16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</row>
    <row r="10" spans="1:258" s="6" customFormat="1" ht="24.9" customHeight="1" outlineLevel="1" x14ac:dyDescent="0.3">
      <c r="A10" s="5"/>
      <c r="B10" s="2" t="s">
        <v>0</v>
      </c>
      <c r="C10" s="73" t="s">
        <v>27</v>
      </c>
      <c r="D10" s="3" t="s">
        <v>15</v>
      </c>
      <c r="E10" s="91" t="s">
        <v>145</v>
      </c>
      <c r="F10" s="49">
        <v>46060</v>
      </c>
      <c r="G10" s="49">
        <v>46061</v>
      </c>
      <c r="H10" s="53">
        <f t="shared" ref="H10:H11" si="0">IF(F10=0,0,G10-F10)+1</f>
        <v>2</v>
      </c>
      <c r="I10" s="2"/>
      <c r="J10" s="5"/>
      <c r="K10" s="67" t="s">
        <v>15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</row>
    <row r="11" spans="1:258" s="6" customFormat="1" ht="24.9" customHeight="1" outlineLevel="1" x14ac:dyDescent="0.3">
      <c r="A11" s="5"/>
      <c r="B11" s="2" t="s">
        <v>28</v>
      </c>
      <c r="C11" s="73" t="s">
        <v>29</v>
      </c>
      <c r="D11" s="3" t="s">
        <v>15</v>
      </c>
      <c r="E11" s="91" t="s">
        <v>145</v>
      </c>
      <c r="F11" s="49">
        <v>46062</v>
      </c>
      <c r="G11" s="49">
        <v>46064</v>
      </c>
      <c r="H11" s="53">
        <f t="shared" si="0"/>
        <v>3</v>
      </c>
      <c r="I11" s="2"/>
      <c r="J11" s="5"/>
      <c r="K11" s="68" t="s">
        <v>18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</row>
    <row r="12" spans="1:258" s="6" customFormat="1" ht="24.9" customHeight="1" outlineLevel="1" x14ac:dyDescent="0.25">
      <c r="A12" s="5"/>
      <c r="B12" s="2" t="s">
        <v>30</v>
      </c>
      <c r="C12" s="73" t="s">
        <v>31</v>
      </c>
      <c r="D12" s="3" t="s">
        <v>15</v>
      </c>
      <c r="E12" s="91" t="s">
        <v>145</v>
      </c>
      <c r="F12" s="49">
        <v>46065</v>
      </c>
      <c r="G12" s="49">
        <v>46069</v>
      </c>
      <c r="H12" s="53">
        <f t="shared" ref="H12:H59" si="1">IF(F12=0,0,G12-F12)+1</f>
        <v>5</v>
      </c>
      <c r="I12" s="2"/>
      <c r="J12" s="5"/>
      <c r="K12" s="1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</row>
    <row r="13" spans="1:258" s="6" customFormat="1" ht="24.9" customHeight="1" outlineLevel="1" x14ac:dyDescent="0.25">
      <c r="A13" s="5"/>
      <c r="B13" s="2">
        <v>1.2</v>
      </c>
      <c r="C13" s="73" t="s">
        <v>26</v>
      </c>
      <c r="D13" s="3" t="s">
        <v>15</v>
      </c>
      <c r="E13" s="91" t="s">
        <v>146</v>
      </c>
      <c r="F13" s="49">
        <v>46070</v>
      </c>
      <c r="G13" s="49">
        <v>46080</v>
      </c>
      <c r="H13" s="53">
        <f t="shared" si="1"/>
        <v>11</v>
      </c>
      <c r="I13" s="2"/>
      <c r="J13" s="5"/>
      <c r="K13" s="1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</row>
    <row r="14" spans="1:258" s="6" customFormat="1" ht="24.9" customHeight="1" outlineLevel="1" x14ac:dyDescent="0.25">
      <c r="A14" s="5"/>
      <c r="B14" s="2" t="s">
        <v>35</v>
      </c>
      <c r="C14" s="73" t="s">
        <v>32</v>
      </c>
      <c r="D14" s="3" t="s">
        <v>15</v>
      </c>
      <c r="E14" s="91" t="s">
        <v>146</v>
      </c>
      <c r="F14" s="49">
        <v>46070</v>
      </c>
      <c r="G14" s="49">
        <v>46073</v>
      </c>
      <c r="H14" s="53">
        <f t="shared" si="1"/>
        <v>4</v>
      </c>
      <c r="I14" s="2"/>
      <c r="J14" s="5"/>
      <c r="K14" s="1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</row>
    <row r="15" spans="1:258" s="6" customFormat="1" ht="24.9" customHeight="1" outlineLevel="1" x14ac:dyDescent="0.25">
      <c r="A15" s="5"/>
      <c r="B15" s="2" t="s">
        <v>36</v>
      </c>
      <c r="C15" s="73" t="s">
        <v>33</v>
      </c>
      <c r="D15" s="3" t="s">
        <v>15</v>
      </c>
      <c r="E15" s="91" t="s">
        <v>146</v>
      </c>
      <c r="F15" s="49">
        <v>46074</v>
      </c>
      <c r="G15" s="49">
        <v>46076</v>
      </c>
      <c r="H15" s="53">
        <f t="shared" si="1"/>
        <v>3</v>
      </c>
      <c r="I15" s="2"/>
      <c r="J15" s="5"/>
      <c r="K15" s="1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</row>
    <row r="16" spans="1:258" s="6" customFormat="1" ht="24.9" customHeight="1" x14ac:dyDescent="0.25">
      <c r="A16" s="5"/>
      <c r="B16" s="2" t="s">
        <v>37</v>
      </c>
      <c r="C16" s="73" t="s">
        <v>34</v>
      </c>
      <c r="D16" s="3" t="s">
        <v>15</v>
      </c>
      <c r="E16" s="91" t="s">
        <v>146</v>
      </c>
      <c r="F16" s="49">
        <v>46077</v>
      </c>
      <c r="G16" s="50">
        <v>46080</v>
      </c>
      <c r="H16" s="53">
        <f t="shared" si="1"/>
        <v>4</v>
      </c>
      <c r="I16" s="2"/>
      <c r="J16" s="5"/>
      <c r="K16" s="1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</row>
    <row r="17" spans="1:258" s="6" customFormat="1" ht="24.9" customHeight="1" outlineLevel="1" x14ac:dyDescent="0.25">
      <c r="A17" s="5"/>
      <c r="B17" s="19">
        <v>2</v>
      </c>
      <c r="C17" s="19" t="s">
        <v>22</v>
      </c>
      <c r="D17" s="22"/>
      <c r="E17" s="23"/>
      <c r="F17" s="24">
        <v>46081</v>
      </c>
      <c r="G17" s="25">
        <v>46101</v>
      </c>
      <c r="H17" s="26">
        <f t="shared" si="1"/>
        <v>21</v>
      </c>
      <c r="I17" s="16"/>
      <c r="J17" s="5"/>
      <c r="K17" s="1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</row>
    <row r="18" spans="1:258" s="6" customFormat="1" ht="24.9" customHeight="1" outlineLevel="1" x14ac:dyDescent="0.3">
      <c r="A18" s="5"/>
      <c r="B18" s="2">
        <v>2.1</v>
      </c>
      <c r="C18" s="73" t="s">
        <v>38</v>
      </c>
      <c r="D18" s="3" t="s">
        <v>16</v>
      </c>
      <c r="E18" s="92" t="s">
        <v>147</v>
      </c>
      <c r="F18" s="49">
        <v>46081</v>
      </c>
      <c r="G18" s="50">
        <v>46087</v>
      </c>
      <c r="H18" s="54">
        <f t="shared" si="1"/>
        <v>7</v>
      </c>
      <c r="I18" s="2"/>
      <c r="J18" s="5"/>
      <c r="K18" s="1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</row>
    <row r="19" spans="1:258" s="6" customFormat="1" ht="24.9" customHeight="1" outlineLevel="1" x14ac:dyDescent="0.25">
      <c r="A19" s="5"/>
      <c r="B19" s="2" t="s">
        <v>42</v>
      </c>
      <c r="C19" s="73" t="s">
        <v>39</v>
      </c>
      <c r="D19" s="3" t="s">
        <v>16</v>
      </c>
      <c r="E19" s="93" t="s">
        <v>147</v>
      </c>
      <c r="F19" s="49">
        <v>46081</v>
      </c>
      <c r="G19" s="50">
        <v>46082</v>
      </c>
      <c r="H19" s="54">
        <f t="shared" si="1"/>
        <v>2</v>
      </c>
      <c r="I19" s="2"/>
      <c r="J19" s="5"/>
      <c r="K19" s="1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</row>
    <row r="20" spans="1:258" s="6" customFormat="1" ht="24.9" customHeight="1" outlineLevel="1" x14ac:dyDescent="0.25">
      <c r="A20" s="5"/>
      <c r="B20" s="2" t="s">
        <v>43</v>
      </c>
      <c r="C20" s="73" t="s">
        <v>40</v>
      </c>
      <c r="D20" s="3" t="s">
        <v>16</v>
      </c>
      <c r="E20" s="93" t="s">
        <v>147</v>
      </c>
      <c r="F20" s="49">
        <v>46083</v>
      </c>
      <c r="G20" s="50">
        <v>46084</v>
      </c>
      <c r="H20" s="54">
        <f t="shared" si="1"/>
        <v>2</v>
      </c>
      <c r="I20" s="2"/>
      <c r="J20" s="5"/>
      <c r="K20" s="1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</row>
    <row r="21" spans="1:258" s="6" customFormat="1" ht="24.9" customHeight="1" thickBot="1" x14ac:dyDescent="0.3">
      <c r="A21" s="5"/>
      <c r="B21" s="2" t="s">
        <v>44</v>
      </c>
      <c r="C21" s="74" t="s">
        <v>41</v>
      </c>
      <c r="D21" s="3" t="s">
        <v>17</v>
      </c>
      <c r="E21" s="12"/>
      <c r="F21" s="51">
        <v>46085</v>
      </c>
      <c r="G21" s="52">
        <v>46087</v>
      </c>
      <c r="H21" s="55">
        <f t="shared" ref="H21:H28" si="2">IF(F21=0,0,G21-F21)+1</f>
        <v>3</v>
      </c>
      <c r="I21" s="11"/>
      <c r="J21" s="5"/>
      <c r="K21" s="1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</row>
    <row r="22" spans="1:258" s="6" customFormat="1" ht="24.9" customHeight="1" outlineLevel="1" x14ac:dyDescent="0.25">
      <c r="A22" s="5"/>
      <c r="B22" s="2">
        <v>2.2000000000000002</v>
      </c>
      <c r="C22" s="75" t="s">
        <v>45</v>
      </c>
      <c r="D22" s="3" t="s">
        <v>16</v>
      </c>
      <c r="E22" s="94" t="s">
        <v>147</v>
      </c>
      <c r="F22" s="70">
        <v>46088</v>
      </c>
      <c r="G22" s="60">
        <v>46094</v>
      </c>
      <c r="H22" s="71">
        <f t="shared" si="2"/>
        <v>7</v>
      </c>
      <c r="I22" s="72"/>
      <c r="J22" s="5"/>
      <c r="K22" s="1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</row>
    <row r="23" spans="1:258" s="6" customFormat="1" ht="24.9" customHeight="1" outlineLevel="1" x14ac:dyDescent="0.25">
      <c r="A23" s="5"/>
      <c r="B23" s="2" t="s">
        <v>42</v>
      </c>
      <c r="C23" s="75" t="s">
        <v>46</v>
      </c>
      <c r="D23" s="3" t="s">
        <v>16</v>
      </c>
      <c r="E23" s="94" t="s">
        <v>147</v>
      </c>
      <c r="F23" s="70">
        <v>46088</v>
      </c>
      <c r="G23" s="60">
        <v>46089</v>
      </c>
      <c r="H23" s="71">
        <f t="shared" si="2"/>
        <v>2</v>
      </c>
      <c r="I23" s="72"/>
      <c r="J23" s="5"/>
      <c r="K23" s="1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</row>
    <row r="24" spans="1:258" s="6" customFormat="1" ht="24.9" customHeight="1" outlineLevel="1" x14ac:dyDescent="0.25">
      <c r="A24" s="5"/>
      <c r="B24" s="2" t="s">
        <v>43</v>
      </c>
      <c r="C24" s="75" t="s">
        <v>47</v>
      </c>
      <c r="D24" s="3" t="s">
        <v>16</v>
      </c>
      <c r="E24" s="94" t="s">
        <v>147</v>
      </c>
      <c r="F24" s="70">
        <v>46090</v>
      </c>
      <c r="G24" s="60">
        <v>46092</v>
      </c>
      <c r="H24" s="71">
        <f t="shared" si="2"/>
        <v>3</v>
      </c>
      <c r="I24" s="72"/>
      <c r="J24" s="5"/>
      <c r="K24" s="1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</row>
    <row r="25" spans="1:258" s="6" customFormat="1" ht="24.9" customHeight="1" outlineLevel="1" x14ac:dyDescent="0.25">
      <c r="A25" s="5"/>
      <c r="B25" s="2" t="s">
        <v>44</v>
      </c>
      <c r="C25" s="75" t="s">
        <v>48</v>
      </c>
      <c r="D25" s="3" t="s">
        <v>16</v>
      </c>
      <c r="E25" s="94" t="s">
        <v>147</v>
      </c>
      <c r="F25" s="70">
        <v>46093</v>
      </c>
      <c r="G25" s="60">
        <v>46094</v>
      </c>
      <c r="H25" s="71">
        <f t="shared" si="2"/>
        <v>2</v>
      </c>
      <c r="I25" s="72"/>
      <c r="J25" s="5"/>
      <c r="K25" s="1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</row>
    <row r="26" spans="1:258" s="6" customFormat="1" ht="24.9" customHeight="1" outlineLevel="1" x14ac:dyDescent="0.25">
      <c r="A26" s="5"/>
      <c r="B26" s="2">
        <v>2.2999999999999998</v>
      </c>
      <c r="C26" s="75" t="s">
        <v>49</v>
      </c>
      <c r="D26" s="3" t="s">
        <v>17</v>
      </c>
      <c r="E26" s="69"/>
      <c r="F26" s="70">
        <v>46095</v>
      </c>
      <c r="G26" s="60">
        <v>46101</v>
      </c>
      <c r="H26" s="71">
        <f t="shared" si="2"/>
        <v>7</v>
      </c>
      <c r="I26" s="72"/>
      <c r="J26" s="5"/>
      <c r="K26" s="1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</row>
    <row r="27" spans="1:258" s="6" customFormat="1" ht="24.9" customHeight="1" outlineLevel="1" x14ac:dyDescent="0.25">
      <c r="A27" s="5"/>
      <c r="B27" s="2" t="s">
        <v>53</v>
      </c>
      <c r="C27" s="75" t="s">
        <v>50</v>
      </c>
      <c r="D27" s="3" t="s">
        <v>17</v>
      </c>
      <c r="E27" s="69"/>
      <c r="F27" s="70">
        <v>46095</v>
      </c>
      <c r="G27" s="60">
        <v>46096</v>
      </c>
      <c r="H27" s="71">
        <f t="shared" si="2"/>
        <v>2</v>
      </c>
      <c r="I27" s="72"/>
      <c r="J27" s="5"/>
      <c r="K27" s="1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</row>
    <row r="28" spans="1:258" s="6" customFormat="1" ht="24.9" customHeight="1" x14ac:dyDescent="0.25">
      <c r="A28" s="5"/>
      <c r="B28" s="2" t="s">
        <v>54</v>
      </c>
      <c r="C28" s="75" t="s">
        <v>51</v>
      </c>
      <c r="D28" s="3" t="s">
        <v>17</v>
      </c>
      <c r="E28" s="69"/>
      <c r="F28" s="70">
        <v>46097</v>
      </c>
      <c r="G28" s="60">
        <v>46098</v>
      </c>
      <c r="H28" s="71">
        <f t="shared" si="2"/>
        <v>2</v>
      </c>
      <c r="I28" s="72"/>
      <c r="J28" s="5"/>
      <c r="K28" s="1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</row>
    <row r="29" spans="1:258" s="6" customFormat="1" ht="24.9" customHeight="1" outlineLevel="1" thickBot="1" x14ac:dyDescent="0.3">
      <c r="A29" s="5"/>
      <c r="B29" s="2" t="s">
        <v>55</v>
      </c>
      <c r="C29" s="74" t="s">
        <v>52</v>
      </c>
      <c r="D29" s="3" t="s">
        <v>15</v>
      </c>
      <c r="E29" s="91" t="s">
        <v>146</v>
      </c>
      <c r="F29" s="51">
        <v>46099</v>
      </c>
      <c r="G29" s="52">
        <v>46100</v>
      </c>
      <c r="H29" s="55">
        <f t="shared" si="1"/>
        <v>2</v>
      </c>
      <c r="I29" s="11"/>
      <c r="J29" s="5"/>
      <c r="K29" s="1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</row>
    <row r="30" spans="1:258" s="6" customFormat="1" ht="24.9" customHeight="1" outlineLevel="1" x14ac:dyDescent="0.25">
      <c r="A30" s="5"/>
      <c r="B30" s="20">
        <v>3</v>
      </c>
      <c r="C30" s="20" t="s">
        <v>23</v>
      </c>
      <c r="D30" s="27"/>
      <c r="E30" s="28"/>
      <c r="F30" s="29">
        <v>46102</v>
      </c>
      <c r="G30" s="30">
        <v>46122</v>
      </c>
      <c r="H30" s="31">
        <f t="shared" si="1"/>
        <v>21</v>
      </c>
      <c r="I30" s="17"/>
      <c r="J30" s="5"/>
      <c r="K30" s="1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</row>
    <row r="31" spans="1:258" s="6" customFormat="1" ht="24.9" customHeight="1" outlineLevel="1" x14ac:dyDescent="0.3">
      <c r="A31" s="5"/>
      <c r="B31" s="2">
        <v>3.1</v>
      </c>
      <c r="C31" s="73" t="s">
        <v>56</v>
      </c>
      <c r="D31" s="3" t="s">
        <v>16</v>
      </c>
      <c r="E31" s="92" t="s">
        <v>148</v>
      </c>
      <c r="F31" s="49">
        <v>46102</v>
      </c>
      <c r="G31" s="50">
        <v>46106</v>
      </c>
      <c r="H31" s="56">
        <f t="shared" si="1"/>
        <v>5</v>
      </c>
      <c r="I31" s="2"/>
      <c r="J31" s="5"/>
      <c r="K31" s="1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</row>
    <row r="32" spans="1:258" s="6" customFormat="1" ht="24.9" customHeight="1" outlineLevel="1" x14ac:dyDescent="0.25">
      <c r="A32" s="5"/>
      <c r="B32" s="2" t="s">
        <v>60</v>
      </c>
      <c r="C32" s="73" t="s">
        <v>57</v>
      </c>
      <c r="D32" s="3" t="s">
        <v>16</v>
      </c>
      <c r="E32" s="91" t="s">
        <v>148</v>
      </c>
      <c r="F32" s="49">
        <v>46102</v>
      </c>
      <c r="G32" s="50">
        <v>46103</v>
      </c>
      <c r="H32" s="56">
        <f t="shared" si="1"/>
        <v>2</v>
      </c>
      <c r="I32" s="2"/>
      <c r="J32" s="5"/>
      <c r="K32" s="1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</row>
    <row r="33" spans="1:258" ht="13.8" x14ac:dyDescent="0.25">
      <c r="A33" s="1"/>
      <c r="B33" s="2" t="s">
        <v>61</v>
      </c>
      <c r="C33" s="73" t="s">
        <v>58</v>
      </c>
      <c r="D33" s="3" t="s">
        <v>17</v>
      </c>
      <c r="E33" s="9"/>
      <c r="F33" s="49">
        <v>46104</v>
      </c>
      <c r="G33" s="50">
        <v>46105</v>
      </c>
      <c r="H33" s="56">
        <f t="shared" si="1"/>
        <v>2</v>
      </c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3.8" x14ac:dyDescent="0.25">
      <c r="A34" s="1"/>
      <c r="B34" s="2" t="s">
        <v>62</v>
      </c>
      <c r="C34" s="73" t="s">
        <v>59</v>
      </c>
      <c r="D34" s="3" t="s">
        <v>17</v>
      </c>
      <c r="E34" s="9"/>
      <c r="F34" s="49">
        <v>46106</v>
      </c>
      <c r="G34" s="50">
        <v>46106</v>
      </c>
      <c r="H34" s="56">
        <f t="shared" si="1"/>
        <v>1</v>
      </c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3.8" x14ac:dyDescent="0.25">
      <c r="A35" s="1"/>
      <c r="B35" s="2">
        <v>3.2</v>
      </c>
      <c r="C35" s="73" t="s">
        <v>63</v>
      </c>
      <c r="D35" s="3" t="s">
        <v>17</v>
      </c>
      <c r="E35" s="9"/>
      <c r="F35" s="49">
        <v>46107</v>
      </c>
      <c r="G35" s="50">
        <v>46112</v>
      </c>
      <c r="H35" s="56">
        <f t="shared" si="1"/>
        <v>6</v>
      </c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3.8" x14ac:dyDescent="0.25">
      <c r="A36" s="1"/>
      <c r="B36" s="2" t="s">
        <v>67</v>
      </c>
      <c r="C36" s="73" t="s">
        <v>64</v>
      </c>
      <c r="D36" s="3" t="s">
        <v>17</v>
      </c>
      <c r="E36" s="9"/>
      <c r="F36" s="49">
        <v>46107</v>
      </c>
      <c r="G36" s="49">
        <v>46108</v>
      </c>
      <c r="H36" s="56">
        <f t="shared" si="1"/>
        <v>2</v>
      </c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3.8" x14ac:dyDescent="0.25">
      <c r="A37" s="1"/>
      <c r="B37" s="2" t="s">
        <v>68</v>
      </c>
      <c r="C37" s="73" t="s">
        <v>65</v>
      </c>
      <c r="D37" s="3" t="s">
        <v>17</v>
      </c>
      <c r="E37" s="9"/>
      <c r="F37" s="49">
        <v>46109</v>
      </c>
      <c r="G37" s="50">
        <v>46110</v>
      </c>
      <c r="H37" s="56">
        <f t="shared" si="1"/>
        <v>2</v>
      </c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3.8" x14ac:dyDescent="0.25">
      <c r="A38" s="1"/>
      <c r="B38" s="2" t="s">
        <v>69</v>
      </c>
      <c r="C38" s="73" t="s">
        <v>66</v>
      </c>
      <c r="D38" s="3" t="s">
        <v>17</v>
      </c>
      <c r="E38" s="9"/>
      <c r="F38" s="49">
        <v>46111</v>
      </c>
      <c r="G38" s="50">
        <v>46112</v>
      </c>
      <c r="H38" s="56">
        <f t="shared" si="1"/>
        <v>2</v>
      </c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3.8" x14ac:dyDescent="0.25">
      <c r="A39" s="1"/>
      <c r="B39" s="2">
        <v>3.3</v>
      </c>
      <c r="C39" s="73" t="s">
        <v>70</v>
      </c>
      <c r="D39" s="3" t="s">
        <v>17</v>
      </c>
      <c r="E39" s="9"/>
      <c r="F39" s="49">
        <v>46113</v>
      </c>
      <c r="G39" s="50">
        <v>46117</v>
      </c>
      <c r="H39" s="56">
        <f t="shared" si="1"/>
        <v>5</v>
      </c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3.8" x14ac:dyDescent="0.25">
      <c r="A40" s="1"/>
      <c r="B40" s="2" t="s">
        <v>74</v>
      </c>
      <c r="C40" s="73" t="s">
        <v>71</v>
      </c>
      <c r="D40" s="3" t="s">
        <v>17</v>
      </c>
      <c r="E40" s="9"/>
      <c r="F40" s="49">
        <v>46113</v>
      </c>
      <c r="G40" s="50">
        <v>46114</v>
      </c>
      <c r="H40" s="56">
        <f t="shared" si="1"/>
        <v>2</v>
      </c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3.8" x14ac:dyDescent="0.25">
      <c r="A41" s="1"/>
      <c r="B41" s="2" t="s">
        <v>75</v>
      </c>
      <c r="C41" s="73" t="s">
        <v>72</v>
      </c>
      <c r="D41" s="3" t="s">
        <v>17</v>
      </c>
      <c r="E41" s="9"/>
      <c r="F41" s="49">
        <v>46115</v>
      </c>
      <c r="G41" s="50">
        <v>46116</v>
      </c>
      <c r="H41" s="56">
        <f t="shared" si="1"/>
        <v>2</v>
      </c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3.8" x14ac:dyDescent="0.25">
      <c r="A42" s="1"/>
      <c r="B42" s="2" t="s">
        <v>76</v>
      </c>
      <c r="C42" s="73" t="s">
        <v>73</v>
      </c>
      <c r="D42" s="3" t="s">
        <v>17</v>
      </c>
      <c r="E42" s="9"/>
      <c r="F42" s="49">
        <v>46117</v>
      </c>
      <c r="G42" s="49">
        <v>46117</v>
      </c>
      <c r="H42" s="56">
        <f t="shared" si="1"/>
        <v>1</v>
      </c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3.8" x14ac:dyDescent="0.25">
      <c r="A43" s="1"/>
      <c r="B43" s="2">
        <v>3.4</v>
      </c>
      <c r="C43" s="73" t="s">
        <v>77</v>
      </c>
      <c r="D43" s="3" t="s">
        <v>17</v>
      </c>
      <c r="E43" s="9"/>
      <c r="F43" s="49">
        <v>46118</v>
      </c>
      <c r="G43" s="50">
        <v>46122</v>
      </c>
      <c r="H43" s="56">
        <f t="shared" si="1"/>
        <v>5</v>
      </c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3.8" x14ac:dyDescent="0.25">
      <c r="A44" s="1"/>
      <c r="B44" s="2" t="s">
        <v>81</v>
      </c>
      <c r="C44" s="73" t="s">
        <v>78</v>
      </c>
      <c r="D44" s="3" t="s">
        <v>17</v>
      </c>
      <c r="E44" s="9"/>
      <c r="F44" s="49">
        <v>46118</v>
      </c>
      <c r="G44" s="49">
        <v>46118</v>
      </c>
      <c r="H44" s="56">
        <f t="shared" si="1"/>
        <v>1</v>
      </c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4.4" thickBot="1" x14ac:dyDescent="0.3">
      <c r="A45" s="1"/>
      <c r="B45" s="2" t="s">
        <v>82</v>
      </c>
      <c r="C45" s="74" t="s">
        <v>79</v>
      </c>
      <c r="D45" s="3" t="s">
        <v>17</v>
      </c>
      <c r="E45" s="10"/>
      <c r="F45" s="49">
        <v>46119</v>
      </c>
      <c r="G45" s="50">
        <v>46120</v>
      </c>
      <c r="H45" s="56">
        <f t="shared" si="1"/>
        <v>2</v>
      </c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4.4" thickBot="1" x14ac:dyDescent="0.3">
      <c r="A46" s="1"/>
      <c r="B46" s="2" t="s">
        <v>83</v>
      </c>
      <c r="C46" s="74" t="s">
        <v>80</v>
      </c>
      <c r="D46" s="3" t="s">
        <v>17</v>
      </c>
      <c r="E46" s="15"/>
      <c r="F46" s="51">
        <v>46121</v>
      </c>
      <c r="G46" s="52">
        <v>46122</v>
      </c>
      <c r="H46" s="57">
        <f t="shared" si="1"/>
        <v>2</v>
      </c>
      <c r="I46" s="1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x14ac:dyDescent="0.25">
      <c r="A47" s="1"/>
      <c r="B47" s="21">
        <v>4</v>
      </c>
      <c r="C47" s="21" t="s">
        <v>24</v>
      </c>
      <c r="D47" s="32"/>
      <c r="E47" s="33"/>
      <c r="F47" s="34">
        <v>46123</v>
      </c>
      <c r="G47" s="35">
        <v>46136</v>
      </c>
      <c r="H47" s="36">
        <f t="shared" si="1"/>
        <v>14</v>
      </c>
      <c r="I47" s="1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3.8" x14ac:dyDescent="0.25">
      <c r="A48" s="1"/>
      <c r="B48" s="2">
        <v>4.0999999999999996</v>
      </c>
      <c r="C48" s="73" t="s">
        <v>84</v>
      </c>
      <c r="D48" s="3" t="s">
        <v>17</v>
      </c>
      <c r="E48" s="10"/>
      <c r="F48" s="49">
        <v>46123</v>
      </c>
      <c r="G48" s="50">
        <v>46126</v>
      </c>
      <c r="H48" s="58">
        <f t="shared" si="1"/>
        <v>4</v>
      </c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3.8" x14ac:dyDescent="0.25">
      <c r="A49" s="1"/>
      <c r="B49" s="2" t="s">
        <v>88</v>
      </c>
      <c r="C49" s="73" t="s">
        <v>85</v>
      </c>
      <c r="D49" s="3" t="s">
        <v>17</v>
      </c>
      <c r="E49" s="10"/>
      <c r="F49" s="49">
        <v>46123</v>
      </c>
      <c r="G49" s="49">
        <v>46123</v>
      </c>
      <c r="H49" s="58">
        <f t="shared" si="1"/>
        <v>1</v>
      </c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3.8" x14ac:dyDescent="0.25">
      <c r="A50" s="1"/>
      <c r="B50" s="2" t="s">
        <v>89</v>
      </c>
      <c r="C50" s="73" t="s">
        <v>86</v>
      </c>
      <c r="D50" s="3" t="s">
        <v>17</v>
      </c>
      <c r="E50" s="10"/>
      <c r="F50" s="49">
        <v>46124</v>
      </c>
      <c r="G50" s="49">
        <v>46124</v>
      </c>
      <c r="H50" s="58">
        <f t="shared" si="1"/>
        <v>1</v>
      </c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3.8" x14ac:dyDescent="0.25">
      <c r="A51" s="1"/>
      <c r="B51" s="2" t="s">
        <v>90</v>
      </c>
      <c r="C51" s="75" t="s">
        <v>87</v>
      </c>
      <c r="D51" s="3" t="s">
        <v>17</v>
      </c>
      <c r="E51" s="69"/>
      <c r="F51" s="70">
        <v>46125</v>
      </c>
      <c r="G51" s="60">
        <v>46126</v>
      </c>
      <c r="H51" s="58">
        <f t="shared" si="1"/>
        <v>2</v>
      </c>
      <c r="I51" s="7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3.8" x14ac:dyDescent="0.25">
      <c r="A52" s="1"/>
      <c r="B52" s="72">
        <v>4.2</v>
      </c>
      <c r="C52" s="75" t="s">
        <v>91</v>
      </c>
      <c r="D52" s="3" t="s">
        <v>17</v>
      </c>
      <c r="E52" s="69"/>
      <c r="F52" s="70">
        <v>46127</v>
      </c>
      <c r="G52" s="60">
        <v>46131</v>
      </c>
      <c r="H52" s="58">
        <f t="shared" si="1"/>
        <v>5</v>
      </c>
      <c r="I52" s="7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3.8" x14ac:dyDescent="0.25">
      <c r="A53" s="1"/>
      <c r="B53" s="72" t="s">
        <v>95</v>
      </c>
      <c r="C53" s="75" t="s">
        <v>92</v>
      </c>
      <c r="D53" s="3" t="s">
        <v>17</v>
      </c>
      <c r="E53" s="69"/>
      <c r="F53" s="70">
        <v>46127</v>
      </c>
      <c r="G53" s="60">
        <v>46128</v>
      </c>
      <c r="H53" s="58">
        <f t="shared" si="1"/>
        <v>2</v>
      </c>
      <c r="I53" s="7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3.8" x14ac:dyDescent="0.25">
      <c r="A54" s="1"/>
      <c r="B54" s="72" t="s">
        <v>96</v>
      </c>
      <c r="C54" s="75" t="s">
        <v>93</v>
      </c>
      <c r="D54" s="3" t="s">
        <v>17</v>
      </c>
      <c r="E54" s="69"/>
      <c r="F54" s="70">
        <v>46129</v>
      </c>
      <c r="G54" s="60">
        <v>46130</v>
      </c>
      <c r="H54" s="58">
        <f t="shared" si="1"/>
        <v>2</v>
      </c>
      <c r="I54" s="7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  <row r="55" spans="1:258" ht="13.8" x14ac:dyDescent="0.25">
      <c r="A55" s="1"/>
      <c r="B55" s="72" t="s">
        <v>97</v>
      </c>
      <c r="C55" s="75" t="s">
        <v>94</v>
      </c>
      <c r="D55" s="3" t="s">
        <v>17</v>
      </c>
      <c r="E55" s="69"/>
      <c r="F55" s="70">
        <v>46131</v>
      </c>
      <c r="G55" s="70">
        <v>46131</v>
      </c>
      <c r="H55" s="58">
        <f t="shared" si="1"/>
        <v>1</v>
      </c>
      <c r="I55" s="7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</row>
    <row r="56" spans="1:258" ht="13.8" x14ac:dyDescent="0.25">
      <c r="A56" s="1"/>
      <c r="B56" s="72">
        <v>4.3</v>
      </c>
      <c r="C56" s="75" t="s">
        <v>101</v>
      </c>
      <c r="D56" s="3" t="s">
        <v>17</v>
      </c>
      <c r="E56" s="69"/>
      <c r="F56" s="70">
        <v>46132</v>
      </c>
      <c r="G56" s="60">
        <v>46136</v>
      </c>
      <c r="H56" s="58">
        <f t="shared" si="1"/>
        <v>5</v>
      </c>
      <c r="I56" s="7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</row>
    <row r="57" spans="1:258" ht="13.8" x14ac:dyDescent="0.25">
      <c r="A57" s="1"/>
      <c r="B57" s="72" t="s">
        <v>102</v>
      </c>
      <c r="C57" s="75" t="s">
        <v>98</v>
      </c>
      <c r="D57" s="3" t="s">
        <v>17</v>
      </c>
      <c r="E57" s="69"/>
      <c r="F57" s="70">
        <v>46132</v>
      </c>
      <c r="G57" s="60">
        <v>46133</v>
      </c>
      <c r="H57" s="58">
        <f t="shared" si="1"/>
        <v>2</v>
      </c>
      <c r="I57" s="7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</row>
    <row r="58" spans="1:258" ht="13.8" x14ac:dyDescent="0.25">
      <c r="A58" s="1"/>
      <c r="B58" s="72" t="s">
        <v>103</v>
      </c>
      <c r="C58" s="75" t="s">
        <v>99</v>
      </c>
      <c r="D58" s="3" t="s">
        <v>17</v>
      </c>
      <c r="E58" s="69"/>
      <c r="F58" s="70">
        <v>46134</v>
      </c>
      <c r="G58" s="60">
        <v>46135</v>
      </c>
      <c r="H58" s="97">
        <f t="shared" si="1"/>
        <v>2</v>
      </c>
      <c r="I58" s="7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</row>
    <row r="59" spans="1:258" ht="13.8" x14ac:dyDescent="0.25">
      <c r="A59" s="1"/>
      <c r="B59" s="72" t="s">
        <v>104</v>
      </c>
      <c r="C59" s="75" t="s">
        <v>100</v>
      </c>
      <c r="D59" s="3" t="s">
        <v>17</v>
      </c>
      <c r="E59" s="69"/>
      <c r="F59" s="70">
        <v>46136</v>
      </c>
      <c r="G59" s="70">
        <v>46136</v>
      </c>
      <c r="H59" s="58">
        <f t="shared" si="1"/>
        <v>1</v>
      </c>
      <c r="I59" s="7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</row>
    <row r="60" spans="1:258" ht="15" x14ac:dyDescent="0.25">
      <c r="A60" s="1"/>
      <c r="B60" s="77">
        <v>5</v>
      </c>
      <c r="C60" s="77" t="s">
        <v>105</v>
      </c>
      <c r="D60" s="78"/>
      <c r="E60" s="79"/>
      <c r="F60" s="80">
        <v>46137</v>
      </c>
      <c r="G60" s="81">
        <v>46145</v>
      </c>
      <c r="H60" s="82">
        <f t="shared" ref="H60:H72" si="3">IF(F60=0,0,G60-F60)+1</f>
        <v>9</v>
      </c>
      <c r="I60" s="8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</row>
    <row r="61" spans="1:258" ht="15" x14ac:dyDescent="0.25">
      <c r="A61" s="1"/>
      <c r="B61" s="72">
        <v>5.0999999999999996</v>
      </c>
      <c r="C61" s="75" t="s">
        <v>112</v>
      </c>
      <c r="D61" s="3" t="s">
        <v>17</v>
      </c>
      <c r="E61" s="69"/>
      <c r="F61" s="70">
        <v>46137</v>
      </c>
      <c r="G61" s="60">
        <v>46139</v>
      </c>
      <c r="H61" s="96">
        <f t="shared" si="3"/>
        <v>3</v>
      </c>
      <c r="I61" s="7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</row>
    <row r="62" spans="1:258" ht="15" x14ac:dyDescent="0.25">
      <c r="A62" s="1"/>
      <c r="B62" s="72" t="s">
        <v>109</v>
      </c>
      <c r="C62" s="75" t="s">
        <v>106</v>
      </c>
      <c r="D62" s="3" t="s">
        <v>17</v>
      </c>
      <c r="E62" s="69"/>
      <c r="F62" s="70">
        <v>46137</v>
      </c>
      <c r="G62" s="70">
        <v>46137</v>
      </c>
      <c r="H62" s="96">
        <f t="shared" si="3"/>
        <v>1</v>
      </c>
      <c r="I62" s="7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</row>
    <row r="63" spans="1:258" ht="15" x14ac:dyDescent="0.25">
      <c r="A63" s="1"/>
      <c r="B63" s="72" t="s">
        <v>110</v>
      </c>
      <c r="C63" s="75" t="s">
        <v>107</v>
      </c>
      <c r="D63" s="3" t="s">
        <v>17</v>
      </c>
      <c r="E63" s="69"/>
      <c r="F63" s="70">
        <v>46138</v>
      </c>
      <c r="G63" s="70">
        <v>46138</v>
      </c>
      <c r="H63" s="96">
        <f t="shared" si="3"/>
        <v>1</v>
      </c>
      <c r="I63" s="7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</row>
    <row r="64" spans="1:258" ht="15" x14ac:dyDescent="0.25">
      <c r="A64" s="1"/>
      <c r="B64" s="72" t="s">
        <v>111</v>
      </c>
      <c r="C64" s="75" t="s">
        <v>108</v>
      </c>
      <c r="D64" s="3" t="s">
        <v>17</v>
      </c>
      <c r="E64" s="69"/>
      <c r="F64" s="70">
        <v>46139</v>
      </c>
      <c r="G64" s="70">
        <v>46139</v>
      </c>
      <c r="H64" s="96">
        <f t="shared" si="3"/>
        <v>1</v>
      </c>
      <c r="I64" s="7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</row>
    <row r="65" spans="1:258" ht="15" x14ac:dyDescent="0.25">
      <c r="A65" s="1"/>
      <c r="B65" s="72">
        <v>5.2</v>
      </c>
      <c r="C65" s="75" t="s">
        <v>119</v>
      </c>
      <c r="D65" s="3" t="s">
        <v>17</v>
      </c>
      <c r="E65" s="69"/>
      <c r="F65" s="70">
        <v>46140</v>
      </c>
      <c r="G65" s="60">
        <v>46142</v>
      </c>
      <c r="H65" s="96">
        <f t="shared" si="3"/>
        <v>3</v>
      </c>
      <c r="I65" s="7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</row>
    <row r="66" spans="1:258" ht="15" x14ac:dyDescent="0.25">
      <c r="A66" s="1"/>
      <c r="B66" s="72" t="s">
        <v>116</v>
      </c>
      <c r="C66" s="75" t="s">
        <v>113</v>
      </c>
      <c r="D66" s="3" t="s">
        <v>17</v>
      </c>
      <c r="E66" s="69"/>
      <c r="F66" s="70">
        <v>46140</v>
      </c>
      <c r="G66" s="70">
        <v>46140</v>
      </c>
      <c r="H66" s="96">
        <f t="shared" si="3"/>
        <v>1</v>
      </c>
      <c r="I66" s="7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</row>
    <row r="67" spans="1:258" ht="15" x14ac:dyDescent="0.25">
      <c r="A67" s="1"/>
      <c r="B67" s="72" t="s">
        <v>117</v>
      </c>
      <c r="C67" s="75" t="s">
        <v>114</v>
      </c>
      <c r="D67" s="3" t="s">
        <v>17</v>
      </c>
      <c r="E67" s="69"/>
      <c r="F67" s="70">
        <v>46141</v>
      </c>
      <c r="G67" s="70">
        <v>46141</v>
      </c>
      <c r="H67" s="96">
        <f t="shared" si="3"/>
        <v>1</v>
      </c>
      <c r="I67" s="7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</row>
    <row r="68" spans="1:258" ht="15" x14ac:dyDescent="0.25">
      <c r="A68" s="1"/>
      <c r="B68" s="72" t="s">
        <v>118</v>
      </c>
      <c r="C68" s="75" t="s">
        <v>115</v>
      </c>
      <c r="D68" s="3" t="s">
        <v>17</v>
      </c>
      <c r="E68" s="69"/>
      <c r="F68" s="70">
        <v>46142</v>
      </c>
      <c r="G68" s="70">
        <v>46142</v>
      </c>
      <c r="H68" s="96">
        <f t="shared" si="3"/>
        <v>1</v>
      </c>
      <c r="I68" s="7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</row>
    <row r="69" spans="1:258" ht="15" x14ac:dyDescent="0.25">
      <c r="A69" s="1"/>
      <c r="B69" s="72">
        <v>5.3</v>
      </c>
      <c r="C69" s="75" t="s">
        <v>140</v>
      </c>
      <c r="D69" s="3" t="s">
        <v>17</v>
      </c>
      <c r="E69" s="69"/>
      <c r="F69" s="70">
        <v>46143</v>
      </c>
      <c r="G69" s="60">
        <v>46145</v>
      </c>
      <c r="H69" s="96">
        <f t="shared" si="3"/>
        <v>3</v>
      </c>
      <c r="I69" s="7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</row>
    <row r="70" spans="1:258" ht="15" x14ac:dyDescent="0.25">
      <c r="A70" s="1"/>
      <c r="B70" s="72" t="s">
        <v>122</v>
      </c>
      <c r="C70" s="75" t="s">
        <v>144</v>
      </c>
      <c r="D70" s="3" t="s">
        <v>17</v>
      </c>
      <c r="E70" s="69"/>
      <c r="F70" s="70">
        <v>46143</v>
      </c>
      <c r="G70" s="70">
        <v>46143</v>
      </c>
      <c r="H70" s="96">
        <f t="shared" si="3"/>
        <v>1</v>
      </c>
      <c r="I70" s="7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</row>
    <row r="71" spans="1:258" ht="15" x14ac:dyDescent="0.25">
      <c r="A71" s="1"/>
      <c r="B71" s="72" t="s">
        <v>123</v>
      </c>
      <c r="C71" s="75" t="s">
        <v>120</v>
      </c>
      <c r="D71" s="3" t="s">
        <v>17</v>
      </c>
      <c r="E71" s="69"/>
      <c r="F71" s="70">
        <v>46144</v>
      </c>
      <c r="G71" s="70">
        <v>46144</v>
      </c>
      <c r="H71" s="96">
        <f t="shared" si="3"/>
        <v>1</v>
      </c>
      <c r="I71" s="7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</row>
    <row r="72" spans="1:258" ht="15" x14ac:dyDescent="0.25">
      <c r="A72" s="1"/>
      <c r="B72" s="72" t="s">
        <v>124</v>
      </c>
      <c r="C72" s="75" t="s">
        <v>121</v>
      </c>
      <c r="D72" s="3" t="s">
        <v>17</v>
      </c>
      <c r="E72" s="69"/>
      <c r="F72" s="70">
        <v>46145</v>
      </c>
      <c r="G72" s="70">
        <v>46145</v>
      </c>
      <c r="H72" s="96">
        <f t="shared" si="3"/>
        <v>1</v>
      </c>
      <c r="I72" s="7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</row>
    <row r="73" spans="1:258" ht="15" x14ac:dyDescent="0.25">
      <c r="A73" s="1"/>
      <c r="B73" s="84">
        <v>6</v>
      </c>
      <c r="C73" s="84" t="s">
        <v>125</v>
      </c>
      <c r="D73" s="85"/>
      <c r="E73" s="86"/>
      <c r="F73" s="87">
        <v>46146</v>
      </c>
      <c r="G73" s="88">
        <v>46150</v>
      </c>
      <c r="H73" s="89">
        <f t="shared" ref="H73:H83" si="4">IF(F73=0,0,G73-F73)+1</f>
        <v>5</v>
      </c>
      <c r="I73" s="90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</row>
    <row r="74" spans="1:258" ht="13.8" x14ac:dyDescent="0.25">
      <c r="A74" s="1"/>
      <c r="B74" s="72">
        <v>6.1</v>
      </c>
      <c r="C74" s="75" t="s">
        <v>141</v>
      </c>
      <c r="D74" s="3" t="s">
        <v>17</v>
      </c>
      <c r="E74" s="69"/>
      <c r="F74" s="70">
        <v>46146</v>
      </c>
      <c r="G74" s="60">
        <v>46147</v>
      </c>
      <c r="H74" s="76">
        <f t="shared" si="4"/>
        <v>2</v>
      </c>
      <c r="I74" s="7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</row>
    <row r="75" spans="1:258" ht="13.8" x14ac:dyDescent="0.25">
      <c r="A75" s="1"/>
      <c r="B75" s="72" t="s">
        <v>133</v>
      </c>
      <c r="C75" s="75" t="s">
        <v>126</v>
      </c>
      <c r="D75" s="3" t="s">
        <v>17</v>
      </c>
      <c r="E75" s="69"/>
      <c r="F75" s="70">
        <v>46146</v>
      </c>
      <c r="G75" s="70">
        <v>46146</v>
      </c>
      <c r="H75" s="76">
        <f t="shared" si="4"/>
        <v>1</v>
      </c>
      <c r="I75" s="7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</row>
    <row r="76" spans="1:258" ht="13.8" x14ac:dyDescent="0.25">
      <c r="A76" s="1"/>
      <c r="B76" s="72" t="s">
        <v>136</v>
      </c>
      <c r="C76" s="75" t="s">
        <v>127</v>
      </c>
      <c r="D76" s="3" t="s">
        <v>17</v>
      </c>
      <c r="E76" s="69"/>
      <c r="F76" s="70">
        <v>46147</v>
      </c>
      <c r="G76" s="70">
        <v>46147</v>
      </c>
      <c r="H76" s="76">
        <f t="shared" si="4"/>
        <v>1</v>
      </c>
      <c r="I76" s="7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</row>
    <row r="77" spans="1:258" ht="13.8" x14ac:dyDescent="0.25">
      <c r="A77" s="1"/>
      <c r="B77" s="72">
        <v>6.2</v>
      </c>
      <c r="C77" s="75" t="s">
        <v>142</v>
      </c>
      <c r="D77" s="3" t="s">
        <v>17</v>
      </c>
      <c r="E77" s="69"/>
      <c r="F77" s="70">
        <v>46148</v>
      </c>
      <c r="G77" s="60">
        <v>46149</v>
      </c>
      <c r="H77" s="76">
        <f t="shared" si="4"/>
        <v>2</v>
      </c>
      <c r="I77" s="7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</row>
    <row r="78" spans="1:258" ht="13.8" x14ac:dyDescent="0.25">
      <c r="A78" s="1"/>
      <c r="B78" s="72" t="s">
        <v>134</v>
      </c>
      <c r="C78" s="75" t="s">
        <v>128</v>
      </c>
      <c r="D78" s="3" t="s">
        <v>17</v>
      </c>
      <c r="E78" s="69"/>
      <c r="F78" s="70">
        <v>46148</v>
      </c>
      <c r="G78" s="70">
        <v>46148</v>
      </c>
      <c r="H78" s="76">
        <f t="shared" si="4"/>
        <v>1</v>
      </c>
      <c r="I78" s="7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</row>
    <row r="79" spans="1:258" ht="13.8" x14ac:dyDescent="0.25">
      <c r="A79" s="1"/>
      <c r="B79" s="72" t="s">
        <v>137</v>
      </c>
      <c r="C79" s="75" t="s">
        <v>129</v>
      </c>
      <c r="D79" s="3" t="s">
        <v>17</v>
      </c>
      <c r="E79" s="69"/>
      <c r="F79" s="60">
        <v>46149</v>
      </c>
      <c r="G79" s="60">
        <v>46149</v>
      </c>
      <c r="H79" s="76">
        <f t="shared" si="4"/>
        <v>1</v>
      </c>
      <c r="I79" s="7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</row>
    <row r="80" spans="1:258" ht="13.8" x14ac:dyDescent="0.25">
      <c r="A80" s="1"/>
      <c r="B80" s="72" t="s">
        <v>138</v>
      </c>
      <c r="C80" s="75" t="s">
        <v>130</v>
      </c>
      <c r="D80" s="3" t="s">
        <v>17</v>
      </c>
      <c r="E80" s="69"/>
      <c r="F80" s="60">
        <v>46149</v>
      </c>
      <c r="G80" s="60">
        <v>46149</v>
      </c>
      <c r="H80" s="76">
        <f t="shared" si="4"/>
        <v>1</v>
      </c>
      <c r="I80" s="7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</row>
    <row r="81" spans="1:258" ht="13.8" x14ac:dyDescent="0.25">
      <c r="A81" s="1"/>
      <c r="B81" s="72">
        <v>6.3</v>
      </c>
      <c r="C81" s="75" t="s">
        <v>143</v>
      </c>
      <c r="D81" s="3" t="s">
        <v>17</v>
      </c>
      <c r="E81" s="69"/>
      <c r="F81" s="70">
        <v>46150</v>
      </c>
      <c r="G81" s="70">
        <v>46150</v>
      </c>
      <c r="H81" s="76">
        <f t="shared" si="4"/>
        <v>1</v>
      </c>
      <c r="I81" s="7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</row>
    <row r="82" spans="1:258" ht="13.8" x14ac:dyDescent="0.25">
      <c r="A82" s="1"/>
      <c r="B82" s="72" t="s">
        <v>135</v>
      </c>
      <c r="C82" s="75" t="s">
        <v>131</v>
      </c>
      <c r="D82" s="3" t="s">
        <v>17</v>
      </c>
      <c r="E82" s="69"/>
      <c r="F82" s="70">
        <v>46150</v>
      </c>
      <c r="G82" s="70">
        <v>46150</v>
      </c>
      <c r="H82" s="76">
        <f t="shared" si="4"/>
        <v>1</v>
      </c>
      <c r="I82" s="7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</row>
    <row r="83" spans="1:258" ht="13.8" x14ac:dyDescent="0.25">
      <c r="A83" s="1"/>
      <c r="B83" s="72" t="s">
        <v>139</v>
      </c>
      <c r="C83" s="75" t="s">
        <v>132</v>
      </c>
      <c r="D83" s="3" t="s">
        <v>17</v>
      </c>
      <c r="E83" s="69"/>
      <c r="F83" s="70">
        <v>46150</v>
      </c>
      <c r="G83" s="70">
        <v>46150</v>
      </c>
      <c r="H83" s="76">
        <f t="shared" si="4"/>
        <v>1</v>
      </c>
      <c r="I83" s="7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</row>
    <row r="84" spans="1:258" x14ac:dyDescent="0.25">
      <c r="A84" s="1"/>
      <c r="B84" s="1"/>
      <c r="C84" s="1"/>
      <c r="D84" s="1"/>
      <c r="E84" s="1"/>
      <c r="F84" s="70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</row>
    <row r="85" spans="1:25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</row>
    <row r="86" spans="1:25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</row>
    <row r="87" spans="1:25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</row>
    <row r="88" spans="1:25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</row>
    <row r="89" spans="1:25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</row>
    <row r="90" spans="1:25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</row>
    <row r="91" spans="1:25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</row>
    <row r="92" spans="1:25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</row>
    <row r="93" spans="1:25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</row>
    <row r="94" spans="1:25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</row>
    <row r="95" spans="1:25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</row>
    <row r="96" spans="1:25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</row>
    <row r="97" spans="1:25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</row>
    <row r="98" spans="1:25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</row>
    <row r="99" spans="1:25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</row>
    <row r="100" spans="1:25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</row>
    <row r="101" spans="1:25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</row>
    <row r="102" spans="1:25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</row>
    <row r="103" spans="1:25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</row>
    <row r="104" spans="1:25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</row>
    <row r="105" spans="1:25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</row>
    <row r="106" spans="1:25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</row>
    <row r="107" spans="1:25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</row>
    <row r="108" spans="1:25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</row>
    <row r="109" spans="1:25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</row>
    <row r="110" spans="1:25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</row>
    <row r="111" spans="1:25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</row>
    <row r="112" spans="1:25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</row>
    <row r="113" spans="1:25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</row>
    <row r="114" spans="1:25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</row>
    <row r="115" spans="1:25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</row>
    <row r="116" spans="1:25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</row>
    <row r="117" spans="1:25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</row>
    <row r="118" spans="1:25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</row>
    <row r="119" spans="1:25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</row>
    <row r="120" spans="1:25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</row>
    <row r="121" spans="1:25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</row>
    <row r="122" spans="1:25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</row>
    <row r="123" spans="1:25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</row>
    <row r="124" spans="1:25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</row>
    <row r="125" spans="1:25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</row>
    <row r="126" spans="1:25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</row>
    <row r="127" spans="1:25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</row>
    <row r="128" spans="1:25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</row>
    <row r="129" spans="1:25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</row>
    <row r="130" spans="1:25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</row>
    <row r="131" spans="1:25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</row>
    <row r="132" spans="1:25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</row>
    <row r="133" spans="1:25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</row>
    <row r="134" spans="1:25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</row>
    <row r="135" spans="1:25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</row>
    <row r="136" spans="1:25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</row>
    <row r="137" spans="1:25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</row>
    <row r="138" spans="1:25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</row>
    <row r="139" spans="1:25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</row>
    <row r="140" spans="1:25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</row>
    <row r="141" spans="1:25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</row>
    <row r="142" spans="1:25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</row>
    <row r="143" spans="1:25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</row>
    <row r="144" spans="1:25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</row>
    <row r="145" spans="1:25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</row>
    <row r="146" spans="1:25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</row>
    <row r="147" spans="1:25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</row>
    <row r="148" spans="1:25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</row>
    <row r="149" spans="1:25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</row>
    <row r="150" spans="1:25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</row>
    <row r="151" spans="1:25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</row>
    <row r="152" spans="1:25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</row>
    <row r="153" spans="1:25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</row>
    <row r="154" spans="1:25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</row>
    <row r="155" spans="1:25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</row>
    <row r="156" spans="1:25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</row>
    <row r="157" spans="1:25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</row>
    <row r="158" spans="1:25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</row>
    <row r="159" spans="1:25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</row>
    <row r="160" spans="1:25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</row>
    <row r="161" spans="1:25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</row>
    <row r="162" spans="1:25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</row>
    <row r="163" spans="1:25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</row>
    <row r="164" spans="1:25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</row>
    <row r="165" spans="1:25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</row>
    <row r="166" spans="1:25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</row>
    <row r="167" spans="1:25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</row>
    <row r="168" spans="1:25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</row>
    <row r="169" spans="1:25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</row>
    <row r="170" spans="1:25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</row>
    <row r="171" spans="1:25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</row>
    <row r="172" spans="1:25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</row>
    <row r="173" spans="1:25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</row>
    <row r="174" spans="1:25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</row>
    <row r="175" spans="1:25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</row>
    <row r="176" spans="1:25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</row>
    <row r="177" spans="1:25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</row>
    <row r="178" spans="1:25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</row>
    <row r="179" spans="1:25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</row>
    <row r="180" spans="1:25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</row>
    <row r="181" spans="1:25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</row>
    <row r="182" spans="1:25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</row>
    <row r="183" spans="1:25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</row>
    <row r="184" spans="1:25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</row>
    <row r="185" spans="1:25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</row>
    <row r="186" spans="1:25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</row>
    <row r="187" spans="1:25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</row>
    <row r="188" spans="1:25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</row>
    <row r="189" spans="1:25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</row>
    <row r="190" spans="1:25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</row>
    <row r="191" spans="1:25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</row>
    <row r="192" spans="1:25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</row>
    <row r="193" spans="1:25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</row>
    <row r="194" spans="1:25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</row>
    <row r="195" spans="1:25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</row>
    <row r="196" spans="1:25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</row>
    <row r="197" spans="1:25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</row>
    <row r="198" spans="1:25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</row>
    <row r="199" spans="1:25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</row>
    <row r="200" spans="1:25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</row>
    <row r="201" spans="1:25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</row>
    <row r="202" spans="1:25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</row>
    <row r="203" spans="1:25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</row>
    <row r="204" spans="1:25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</row>
    <row r="205" spans="1:25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</row>
    <row r="206" spans="1:25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</row>
    <row r="207" spans="1:25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</row>
    <row r="208" spans="1:25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</row>
    <row r="209" spans="1:25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</row>
    <row r="210" spans="1:25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</row>
    <row r="211" spans="1:25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</row>
    <row r="212" spans="1:25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</row>
    <row r="213" spans="1:25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</row>
    <row r="214" spans="1:25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</row>
    <row r="215" spans="1:25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</row>
    <row r="216" spans="1:25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</row>
    <row r="217" spans="1:25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</row>
    <row r="218" spans="1:25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</row>
    <row r="219" spans="1:25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</row>
    <row r="220" spans="1:25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</row>
    <row r="221" spans="1:25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</row>
    <row r="222" spans="1:25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</row>
    <row r="223" spans="1:25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</row>
    <row r="224" spans="1:25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</row>
    <row r="225" spans="1:25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</row>
    <row r="226" spans="1:25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</row>
    <row r="227" spans="1:25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</row>
    <row r="228" spans="1:25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</row>
    <row r="229" spans="1:25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</row>
    <row r="230" spans="1:25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</row>
    <row r="231" spans="1:25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</row>
    <row r="232" spans="1:25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</row>
    <row r="233" spans="1:25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</row>
    <row r="234" spans="1:25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</row>
    <row r="235" spans="1:25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</row>
    <row r="236" spans="1:25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</row>
    <row r="237" spans="1:25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</row>
    <row r="238" spans="1:25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</row>
    <row r="239" spans="1:25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</row>
    <row r="240" spans="1:25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</row>
    <row r="241" spans="1:25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</row>
    <row r="242" spans="1:25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</row>
    <row r="243" spans="1:25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</row>
    <row r="244" spans="1:25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</row>
    <row r="245" spans="1:25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</row>
    <row r="246" spans="1:25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</row>
    <row r="247" spans="1:25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</row>
    <row r="248" spans="1:25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</row>
    <row r="249" spans="1:25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</row>
    <row r="250" spans="1:25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</row>
    <row r="251" spans="1:258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</row>
    <row r="252" spans="1:258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</row>
    <row r="253" spans="1:258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</row>
    <row r="254" spans="1:258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</row>
    <row r="255" spans="1:258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</row>
    <row r="256" spans="1:258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</row>
    <row r="257" spans="1:258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</row>
    <row r="258" spans="1:258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</row>
    <row r="259" spans="1:258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</row>
    <row r="260" spans="1:258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</row>
    <row r="261" spans="1:258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</row>
    <row r="262" spans="1:258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</row>
    <row r="263" spans="1:258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</row>
    <row r="264" spans="1:258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</row>
    <row r="265" spans="1:258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</row>
    <row r="266" spans="1:258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</row>
    <row r="267" spans="1:258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</row>
    <row r="268" spans="1:258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</row>
    <row r="269" spans="1:258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</row>
    <row r="270" spans="1:258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</row>
    <row r="271" spans="1:258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</row>
    <row r="272" spans="1:258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</row>
    <row r="273" spans="1:258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</row>
    <row r="274" spans="1:258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</row>
    <row r="275" spans="1:258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</row>
    <row r="276" spans="1:258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</row>
    <row r="277" spans="1:258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</row>
    <row r="278" spans="1:258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</row>
    <row r="279" spans="1:258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</row>
    <row r="280" spans="1:258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</row>
    <row r="281" spans="1:258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</row>
    <row r="282" spans="1:258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</row>
    <row r="283" spans="1:258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</row>
    <row r="284" spans="1:258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</row>
    <row r="285" spans="1:258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</row>
    <row r="286" spans="1:258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</row>
    <row r="287" spans="1:258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</row>
    <row r="288" spans="1:258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</row>
    <row r="289" spans="1:258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</row>
    <row r="290" spans="1:258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</row>
    <row r="291" spans="1:258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</row>
    <row r="292" spans="1:258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</row>
    <row r="293" spans="1:258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</row>
    <row r="294" spans="1:258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</row>
    <row r="295" spans="1:258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</row>
    <row r="296" spans="1:258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</row>
    <row r="297" spans="1:258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</row>
    <row r="298" spans="1:258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</row>
    <row r="299" spans="1:258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</row>
    <row r="300" spans="1:258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</row>
    <row r="301" spans="1:258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</row>
    <row r="302" spans="1:258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</row>
    <row r="303" spans="1:258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</row>
    <row r="304" spans="1:258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</row>
    <row r="305" spans="1:258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</row>
    <row r="306" spans="1:258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</row>
    <row r="307" spans="1:258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</row>
    <row r="308" spans="1:258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</row>
    <row r="309" spans="1:258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</row>
    <row r="310" spans="1:258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</row>
    <row r="311" spans="1:258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</row>
    <row r="312" spans="1:258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</row>
    <row r="313" spans="1:258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</row>
    <row r="314" spans="1:258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</row>
    <row r="315" spans="1:258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</row>
    <row r="316" spans="1:258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</row>
    <row r="317" spans="1:258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</row>
    <row r="318" spans="1:258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</row>
    <row r="319" spans="1:258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</row>
    <row r="320" spans="1:258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</row>
    <row r="321" spans="1:258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</row>
    <row r="322" spans="1:258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</row>
    <row r="323" spans="1:258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</row>
    <row r="324" spans="1:258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</row>
    <row r="325" spans="1:258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</row>
    <row r="326" spans="1:258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</row>
    <row r="327" spans="1:258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</row>
    <row r="328" spans="1:258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</row>
    <row r="329" spans="1:258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</row>
    <row r="330" spans="1:258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</row>
    <row r="331" spans="1:258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</row>
    <row r="332" spans="1:258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</row>
    <row r="333" spans="1:258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</row>
    <row r="334" spans="1:258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</row>
    <row r="335" spans="1:258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</row>
    <row r="336" spans="1:258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</row>
    <row r="337" spans="1:258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</row>
    <row r="338" spans="1:258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</row>
    <row r="339" spans="1:258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</row>
    <row r="340" spans="1:258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</row>
    <row r="341" spans="1:258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</row>
    <row r="342" spans="1:258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</row>
    <row r="343" spans="1:258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</row>
    <row r="344" spans="1:258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</row>
    <row r="345" spans="1:258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</row>
    <row r="346" spans="1:258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</row>
    <row r="347" spans="1:258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</row>
    <row r="348" spans="1:258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</row>
    <row r="349" spans="1:258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</row>
    <row r="350" spans="1:258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</row>
    <row r="351" spans="1:258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</row>
    <row r="352" spans="1:258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</row>
    <row r="353" spans="1:258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</row>
    <row r="354" spans="1:258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</row>
    <row r="355" spans="1:258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</row>
    <row r="356" spans="1:258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</row>
    <row r="357" spans="1:258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</row>
    <row r="358" spans="1:258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</row>
    <row r="359" spans="1:258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</row>
    <row r="360" spans="1:258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</row>
    <row r="361" spans="1:258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</row>
    <row r="362" spans="1:258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</row>
    <row r="363" spans="1:258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</row>
    <row r="364" spans="1:258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</row>
    <row r="365" spans="1:258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</row>
    <row r="366" spans="1:258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</row>
    <row r="367" spans="1:258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</row>
    <row r="368" spans="1:258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</row>
    <row r="369" spans="1:258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</row>
    <row r="370" spans="1:258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</row>
    <row r="371" spans="1:258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</row>
    <row r="372" spans="1:258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</row>
    <row r="373" spans="1:258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</row>
    <row r="374" spans="1:258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</row>
    <row r="375" spans="1:258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</row>
    <row r="376" spans="1:258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</row>
    <row r="377" spans="1:258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</row>
    <row r="378" spans="1:258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</row>
    <row r="379" spans="1:258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</row>
    <row r="380" spans="1:258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</row>
    <row r="381" spans="1:258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</row>
    <row r="382" spans="1:258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</row>
    <row r="383" spans="1:258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</row>
    <row r="384" spans="1:258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</row>
    <row r="385" spans="1:28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</row>
    <row r="386" spans="1:28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</row>
    <row r="387" spans="1:28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</row>
    <row r="388" spans="1:28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</row>
    <row r="389" spans="1:28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</row>
    <row r="390" spans="1:28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</row>
    <row r="391" spans="1:28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</row>
    <row r="392" spans="1:28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</row>
    <row r="393" spans="1:28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</row>
    <row r="394" spans="1:28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</row>
    <row r="395" spans="1:28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</row>
    <row r="396" spans="1:28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</row>
    <row r="397" spans="1:28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</row>
    <row r="398" spans="1:28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</row>
    <row r="399" spans="1:28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</row>
    <row r="400" spans="1:28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</row>
    <row r="401" spans="1:28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</row>
    <row r="402" spans="1:28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</row>
    <row r="403" spans="1:28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</row>
    <row r="404" spans="1:28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</row>
    <row r="405" spans="1:28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</row>
    <row r="406" spans="1:28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</row>
    <row r="407" spans="1:28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</row>
    <row r="408" spans="1:28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</row>
    <row r="409" spans="1:28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</row>
    <row r="410" spans="1:28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</row>
    <row r="411" spans="1:28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</row>
    <row r="412" spans="1:28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</row>
    <row r="413" spans="1:28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</row>
    <row r="414" spans="1:28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</row>
    <row r="415" spans="1:28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</row>
    <row r="416" spans="1:28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</row>
    <row r="417" spans="1:28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</row>
    <row r="418" spans="1:28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</row>
    <row r="419" spans="1:28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</row>
    <row r="420" spans="1:28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</row>
    <row r="421" spans="1:28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</row>
    <row r="422" spans="1:28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</row>
    <row r="423" spans="1:28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</row>
    <row r="424" spans="1:28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</row>
    <row r="425" spans="1:28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</row>
    <row r="426" spans="1:28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</row>
    <row r="427" spans="1:28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</row>
    <row r="428" spans="1:28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</row>
    <row r="429" spans="1:28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</row>
    <row r="430" spans="1:28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</row>
    <row r="431" spans="1:28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</row>
    <row r="432" spans="1:28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</row>
    <row r="433" spans="1:28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</row>
    <row r="434" spans="1:28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</row>
    <row r="435" spans="1:28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</row>
    <row r="436" spans="1:28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</row>
    <row r="437" spans="1:28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</row>
    <row r="438" spans="1:28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</row>
    <row r="439" spans="1:28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</row>
    <row r="440" spans="1:28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</row>
    <row r="441" spans="1:28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</row>
    <row r="442" spans="1:28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</row>
    <row r="443" spans="1:28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</row>
    <row r="444" spans="1:28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</row>
    <row r="445" spans="1:28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</row>
    <row r="446" spans="1:28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</row>
    <row r="447" spans="1:28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</row>
    <row r="448" spans="1:28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</row>
    <row r="449" spans="1:28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</row>
    <row r="450" spans="1:28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</row>
    <row r="451" spans="1:28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</row>
    <row r="452" spans="1:28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</row>
    <row r="453" spans="1:28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</row>
    <row r="454" spans="1:28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</row>
    <row r="455" spans="1:28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</row>
    <row r="456" spans="1:28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</row>
    <row r="457" spans="1:28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</row>
    <row r="458" spans="1:28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</row>
    <row r="459" spans="1:28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</row>
    <row r="460" spans="1:28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</row>
    <row r="461" spans="1:28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</row>
    <row r="462" spans="1:28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</row>
    <row r="463" spans="1:28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</row>
    <row r="464" spans="1:28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</row>
    <row r="465" spans="1:28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</row>
    <row r="466" spans="1:28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</row>
    <row r="467" spans="1:28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</row>
    <row r="468" spans="1:28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</row>
    <row r="469" spans="1:28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</row>
    <row r="470" spans="1:28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</row>
    <row r="471" spans="1:28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</row>
    <row r="472" spans="1:28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</row>
    <row r="473" spans="1:28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</row>
    <row r="474" spans="1:28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</row>
    <row r="475" spans="1:28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</row>
    <row r="476" spans="1:28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</row>
    <row r="477" spans="1:28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</row>
    <row r="478" spans="1:28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</row>
    <row r="479" spans="1:28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</row>
    <row r="480" spans="1:28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</row>
    <row r="481" spans="1:28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</row>
    <row r="482" spans="1:28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</row>
    <row r="483" spans="1:28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</row>
    <row r="484" spans="1:28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</row>
    <row r="485" spans="1:28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</row>
    <row r="486" spans="1:28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</row>
    <row r="487" spans="1:28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</row>
    <row r="488" spans="1:28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</row>
    <row r="489" spans="1:28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</row>
    <row r="490" spans="1:28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</row>
    <row r="491" spans="1:28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</row>
    <row r="492" spans="1:28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</row>
    <row r="493" spans="1:28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</row>
    <row r="494" spans="1:28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</row>
    <row r="495" spans="1:28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</row>
    <row r="496" spans="1:28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</row>
    <row r="497" spans="1:28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</row>
    <row r="498" spans="1:28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</row>
    <row r="499" spans="1:28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</row>
    <row r="500" spans="1:28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</row>
    <row r="501" spans="1:28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</row>
    <row r="502" spans="1:28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</row>
    <row r="503" spans="1:28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</row>
    <row r="504" spans="1:28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</row>
    <row r="505" spans="1:28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</row>
    <row r="506" spans="1:28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</row>
    <row r="507" spans="1:28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</row>
    <row r="508" spans="1:28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</row>
    <row r="509" spans="1:28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</row>
    <row r="510" spans="1:28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</row>
    <row r="511" spans="1:28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</row>
    <row r="512" spans="1:28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</row>
    <row r="513" spans="1:28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</row>
    <row r="514" spans="1:28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</row>
    <row r="515" spans="1:28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</row>
    <row r="516" spans="1:28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</row>
    <row r="517" spans="1:28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</row>
    <row r="518" spans="1:28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</row>
    <row r="519" spans="1:28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</row>
    <row r="520" spans="1:28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</row>
    <row r="521" spans="1:28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</row>
    <row r="522" spans="1:28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</row>
    <row r="523" spans="1:28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</row>
    <row r="524" spans="1:28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</row>
    <row r="525" spans="1:28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</row>
    <row r="526" spans="1:28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</row>
    <row r="527" spans="1:28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</row>
    <row r="528" spans="1:28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</row>
    <row r="529" spans="1:28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</row>
    <row r="530" spans="1:28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</row>
    <row r="531" spans="1:28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</row>
    <row r="532" spans="1:28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</row>
    <row r="533" spans="1:28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</row>
    <row r="534" spans="1:28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</row>
    <row r="535" spans="1:28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</row>
    <row r="536" spans="1:28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</row>
    <row r="537" spans="1:28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</row>
    <row r="538" spans="1:28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</row>
    <row r="539" spans="1:28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</row>
    <row r="540" spans="1:28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</row>
    <row r="541" spans="1:28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</row>
    <row r="542" spans="1:28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</row>
    <row r="543" spans="1:28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</row>
    <row r="544" spans="1:28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</row>
    <row r="545" spans="1:28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</row>
    <row r="546" spans="1:28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</row>
    <row r="547" spans="1:28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</row>
    <row r="548" spans="1:28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</row>
    <row r="549" spans="1:28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</row>
    <row r="550" spans="1:28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</row>
    <row r="551" spans="1:28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</row>
    <row r="552" spans="1:28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</row>
    <row r="553" spans="1:28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</row>
    <row r="554" spans="1:28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</row>
    <row r="555" spans="1:28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</row>
    <row r="556" spans="1:28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</row>
    <row r="557" spans="1:28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</row>
    <row r="558" spans="1:28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</row>
    <row r="559" spans="1:28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</row>
    <row r="560" spans="1:28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</row>
    <row r="561" spans="1:28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</row>
    <row r="562" spans="1:28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</row>
    <row r="563" spans="1:28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</row>
    <row r="564" spans="1:28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</row>
    <row r="565" spans="1:28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</row>
    <row r="566" spans="1:28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</row>
    <row r="567" spans="1:28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</row>
    <row r="568" spans="1:28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</row>
    <row r="569" spans="1:28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</row>
    <row r="570" spans="1:28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</row>
    <row r="571" spans="1:28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</row>
    <row r="572" spans="1:28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</row>
    <row r="573" spans="1:28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</row>
    <row r="574" spans="1:28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</row>
    <row r="575" spans="1:28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</row>
    <row r="576" spans="1:28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</row>
    <row r="577" spans="1:28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</row>
    <row r="578" spans="1:28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</row>
    <row r="579" spans="1:28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</row>
    <row r="580" spans="1:28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</row>
    <row r="581" spans="1:28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</row>
    <row r="582" spans="1:28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</row>
    <row r="583" spans="1:28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</row>
    <row r="584" spans="1:28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</row>
    <row r="585" spans="1:28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</row>
    <row r="586" spans="1:28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</row>
    <row r="587" spans="1:28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</row>
    <row r="588" spans="1:28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</row>
    <row r="589" spans="1:28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</row>
    <row r="590" spans="1:28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</row>
    <row r="591" spans="1:28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</row>
    <row r="592" spans="1:28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</row>
    <row r="593" spans="1:28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</row>
    <row r="594" spans="1:28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</row>
    <row r="595" spans="1:28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</row>
    <row r="596" spans="1:28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</row>
    <row r="597" spans="1:28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</row>
    <row r="598" spans="1:28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</row>
    <row r="599" spans="1:28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</row>
    <row r="600" spans="1:28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</row>
    <row r="601" spans="1:28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</row>
    <row r="602" spans="1:28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</row>
    <row r="603" spans="1:28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</row>
    <row r="604" spans="1:28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</row>
    <row r="605" spans="1:28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</row>
    <row r="606" spans="1:28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</row>
    <row r="607" spans="1:28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</row>
    <row r="608" spans="1:28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</row>
    <row r="609" spans="1:28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</row>
    <row r="610" spans="1:28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</row>
    <row r="611" spans="1:28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</row>
    <row r="612" spans="1:28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</row>
    <row r="613" spans="1:28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</row>
    <row r="614" spans="1:28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</row>
    <row r="615" spans="1:28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</row>
    <row r="616" spans="1:28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</row>
    <row r="617" spans="1:28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</row>
    <row r="618" spans="1:28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</row>
    <row r="619" spans="1:28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</row>
    <row r="620" spans="1:28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</row>
    <row r="621" spans="1:28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</row>
    <row r="622" spans="1:28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</row>
    <row r="623" spans="1:28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</row>
    <row r="624" spans="1:28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</row>
    <row r="625" spans="1:28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</row>
    <row r="626" spans="1:28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</row>
    <row r="627" spans="1:28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</row>
    <row r="628" spans="1:28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</row>
    <row r="629" spans="1:28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</row>
    <row r="630" spans="1:28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</row>
    <row r="631" spans="1:28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</row>
    <row r="632" spans="1:28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</row>
    <row r="633" spans="1:28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</row>
    <row r="634" spans="1:28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</row>
    <row r="635" spans="1:28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</row>
    <row r="636" spans="1:28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</row>
    <row r="637" spans="1:28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</row>
    <row r="638" spans="1:28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</row>
    <row r="639" spans="1:28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</row>
    <row r="640" spans="1:28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</row>
    <row r="641" spans="1:28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</row>
    <row r="642" spans="1:28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</row>
    <row r="643" spans="1:28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</row>
    <row r="644" spans="1:28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</row>
    <row r="645" spans="1:28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</row>
    <row r="646" spans="1:28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</row>
    <row r="647" spans="1:28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</row>
    <row r="648" spans="1:28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</row>
    <row r="649" spans="1:28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</row>
    <row r="650" spans="1:28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</row>
    <row r="651" spans="1:28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</row>
    <row r="652" spans="1:28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</row>
    <row r="653" spans="1:28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</row>
    <row r="654" spans="1:28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</row>
    <row r="655" spans="1:28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</row>
    <row r="656" spans="1:28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</row>
    <row r="657" spans="1:28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</row>
    <row r="658" spans="1:28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</row>
    <row r="659" spans="1:28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</row>
    <row r="660" spans="1:28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</row>
    <row r="661" spans="1:28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</row>
    <row r="662" spans="1:28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</row>
    <row r="663" spans="1:28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</row>
    <row r="664" spans="1:28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</row>
    <row r="665" spans="1:28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</row>
    <row r="666" spans="1:28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</row>
    <row r="667" spans="1:28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</row>
    <row r="668" spans="1:28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</row>
    <row r="669" spans="1:28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</row>
    <row r="670" spans="1:28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</row>
    <row r="671" spans="1:28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</row>
    <row r="672" spans="1:28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</row>
    <row r="673" spans="1:28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</row>
    <row r="674" spans="1:28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</row>
    <row r="675" spans="1:28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</row>
    <row r="676" spans="1:28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</row>
    <row r="677" spans="1:28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</row>
    <row r="678" spans="1:28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</row>
    <row r="679" spans="1:28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</row>
    <row r="680" spans="1:28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</row>
    <row r="681" spans="1:28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</row>
    <row r="682" spans="1:28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</row>
    <row r="683" spans="1:28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</row>
    <row r="684" spans="1:28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</row>
    <row r="685" spans="1:28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</row>
    <row r="686" spans="1:28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</row>
    <row r="687" spans="1:28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</row>
    <row r="688" spans="1:28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</row>
    <row r="689" spans="1:28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</row>
    <row r="690" spans="1:28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</row>
    <row r="691" spans="1:28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</row>
    <row r="692" spans="1:28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</row>
    <row r="693" spans="1:28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</row>
    <row r="694" spans="1:28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</row>
    <row r="695" spans="1:28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</row>
    <row r="696" spans="1:28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</row>
    <row r="697" spans="1:28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</row>
    <row r="698" spans="1:28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</row>
    <row r="699" spans="1:28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</row>
    <row r="700" spans="1:28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</row>
    <row r="701" spans="1:28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</row>
    <row r="702" spans="1:28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</row>
    <row r="703" spans="1:28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</row>
    <row r="704" spans="1:28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</row>
    <row r="705" spans="1:28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</row>
    <row r="706" spans="1:28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</row>
    <row r="707" spans="1:28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</row>
    <row r="708" spans="1:28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</row>
    <row r="709" spans="1:28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</row>
    <row r="710" spans="1:28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</row>
    <row r="711" spans="1:28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</row>
    <row r="712" spans="1:28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</row>
    <row r="713" spans="1:28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</row>
    <row r="714" spans="1:28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</row>
    <row r="715" spans="1:28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</row>
    <row r="716" spans="1:28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</row>
    <row r="717" spans="1:28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</row>
    <row r="718" spans="1:28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</row>
    <row r="719" spans="1:28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</row>
    <row r="720" spans="1:28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</row>
    <row r="721" spans="1:28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</row>
    <row r="722" spans="1:28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</row>
    <row r="723" spans="1:28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</row>
    <row r="724" spans="1:28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</row>
    <row r="725" spans="1:28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</row>
    <row r="726" spans="1:28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</row>
    <row r="727" spans="1:28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</row>
    <row r="728" spans="1:28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</row>
    <row r="729" spans="1:28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</row>
    <row r="730" spans="1:28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</row>
    <row r="731" spans="1:28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</row>
    <row r="732" spans="1:28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</row>
    <row r="733" spans="1:28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</row>
    <row r="734" spans="1:28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</row>
    <row r="735" spans="1:28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</row>
    <row r="736" spans="1:28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</row>
    <row r="737" spans="1:28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</row>
    <row r="738" spans="1:28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</row>
    <row r="739" spans="1:28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</row>
    <row r="740" spans="1:28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</row>
    <row r="741" spans="1:28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</row>
    <row r="742" spans="1:28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</row>
    <row r="743" spans="1:28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</row>
    <row r="744" spans="1:28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</row>
    <row r="745" spans="1:28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</row>
    <row r="746" spans="1:28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</row>
    <row r="747" spans="1:28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</row>
    <row r="748" spans="1:28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</row>
    <row r="749" spans="1:28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</row>
    <row r="750" spans="1:28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</row>
    <row r="751" spans="1:28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</row>
    <row r="752" spans="1:28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</row>
    <row r="753" spans="1:28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</row>
    <row r="754" spans="1:28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</row>
    <row r="755" spans="1:28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</row>
    <row r="756" spans="1:28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</row>
    <row r="757" spans="1:28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</row>
    <row r="758" spans="1:28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</row>
    <row r="759" spans="1:28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</row>
    <row r="760" spans="1:28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</row>
    <row r="761" spans="1:28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</row>
    <row r="762" spans="1:28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</row>
    <row r="763" spans="1:28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</row>
    <row r="764" spans="1:28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</row>
    <row r="765" spans="1:28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</row>
    <row r="766" spans="1:28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</row>
    <row r="767" spans="1:28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</row>
    <row r="768" spans="1:28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</row>
    <row r="769" spans="1:28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</row>
    <row r="770" spans="1:28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</row>
    <row r="771" spans="1:28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</row>
    <row r="772" spans="1:28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</row>
    <row r="773" spans="1:28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</row>
    <row r="774" spans="1:28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</row>
    <row r="775" spans="1:28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</row>
    <row r="776" spans="1:28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</row>
    <row r="777" spans="1:28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</row>
    <row r="778" spans="1:28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</row>
    <row r="779" spans="1:28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</row>
    <row r="780" spans="1:28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</row>
    <row r="781" spans="1:28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</row>
    <row r="782" spans="1:28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</row>
    <row r="783" spans="1:28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</row>
    <row r="784" spans="1:28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</row>
    <row r="785" spans="1:28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</row>
    <row r="786" spans="1:28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</row>
    <row r="787" spans="1:28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</row>
    <row r="788" spans="1:28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</row>
    <row r="789" spans="1:28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</row>
    <row r="790" spans="1:28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</row>
    <row r="791" spans="1:28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</row>
    <row r="792" spans="1:28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</row>
    <row r="793" spans="1:28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</row>
    <row r="794" spans="1:28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</row>
    <row r="795" spans="1:28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</row>
    <row r="796" spans="1:28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</row>
    <row r="797" spans="1:28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</row>
    <row r="798" spans="1:28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</row>
    <row r="799" spans="1:28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</row>
    <row r="800" spans="1:28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</row>
    <row r="801" spans="1:28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</row>
    <row r="802" spans="1:28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</row>
    <row r="803" spans="1:28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</row>
    <row r="804" spans="1:28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</row>
    <row r="805" spans="1:28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</row>
    <row r="806" spans="1:28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</row>
    <row r="807" spans="1:28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</row>
    <row r="808" spans="1:28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</row>
    <row r="809" spans="1:28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</row>
    <row r="810" spans="1:28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</row>
    <row r="811" spans="1:28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</row>
    <row r="812" spans="1:28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</row>
    <row r="813" spans="1:28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</row>
    <row r="814" spans="1:28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</row>
    <row r="815" spans="1:28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</row>
    <row r="816" spans="1:28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</row>
    <row r="817" spans="1:28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</row>
    <row r="818" spans="1:28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</row>
    <row r="819" spans="1:28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</row>
    <row r="820" spans="1:28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</row>
    <row r="821" spans="1:28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</row>
    <row r="822" spans="1:28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</row>
    <row r="823" spans="1:28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</row>
    <row r="824" spans="1:28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</row>
    <row r="825" spans="1:28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</row>
    <row r="826" spans="1:28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</row>
    <row r="827" spans="1:28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</row>
    <row r="828" spans="1:28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</row>
    <row r="829" spans="1:28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</row>
    <row r="830" spans="1:28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</row>
    <row r="831" spans="1:28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</row>
    <row r="832" spans="1:28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</row>
    <row r="833" spans="1:28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</row>
    <row r="834" spans="1:28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</row>
    <row r="835" spans="1:28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</row>
    <row r="836" spans="1:28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</row>
    <row r="837" spans="1:28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</row>
    <row r="838" spans="1:28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</row>
    <row r="839" spans="1:28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</row>
    <row r="840" spans="1:28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</row>
    <row r="841" spans="1:28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</row>
    <row r="842" spans="1:28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</row>
    <row r="843" spans="1:28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</row>
    <row r="844" spans="1:28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</row>
    <row r="845" spans="1:28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</row>
    <row r="846" spans="1:28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</row>
    <row r="847" spans="1:28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</row>
    <row r="848" spans="1:28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</row>
    <row r="849" spans="1:28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</row>
    <row r="850" spans="1:28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</row>
    <row r="851" spans="1:28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</row>
    <row r="852" spans="1:28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</row>
    <row r="853" spans="1:28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</row>
    <row r="854" spans="1:28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</row>
    <row r="855" spans="1:28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</row>
    <row r="856" spans="1:28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</row>
    <row r="857" spans="1:28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</row>
    <row r="858" spans="1:28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</row>
    <row r="859" spans="1:28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</row>
    <row r="860" spans="1:28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</row>
    <row r="861" spans="1:28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</row>
    <row r="862" spans="1:28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</row>
    <row r="863" spans="1:28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</row>
    <row r="864" spans="1:28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</row>
    <row r="865" spans="1:28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</row>
    <row r="866" spans="1:28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</row>
    <row r="867" spans="1:28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</row>
    <row r="868" spans="1:28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</row>
    <row r="869" spans="1:28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</row>
    <row r="870" spans="1:28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</row>
    <row r="871" spans="1:28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</row>
    <row r="872" spans="1:28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</row>
    <row r="873" spans="1:28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</row>
    <row r="874" spans="1:28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</row>
    <row r="875" spans="1:28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</row>
    <row r="876" spans="1:28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</row>
    <row r="877" spans="1:28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</row>
    <row r="878" spans="1:28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</row>
    <row r="879" spans="1:28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</row>
    <row r="880" spans="1:28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</row>
    <row r="881" spans="1:28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</row>
    <row r="882" spans="1:28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</row>
    <row r="883" spans="1:28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</row>
    <row r="884" spans="1:28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</row>
    <row r="885" spans="1:28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</row>
    <row r="886" spans="1:28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</row>
    <row r="887" spans="1:28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</row>
    <row r="888" spans="1:28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</row>
    <row r="889" spans="1:28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</row>
    <row r="890" spans="1:28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</row>
    <row r="891" spans="1:28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</row>
    <row r="892" spans="1:28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</row>
    <row r="893" spans="1:28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</row>
    <row r="894" spans="1:28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</row>
    <row r="895" spans="1:28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</row>
    <row r="896" spans="1:28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</row>
    <row r="897" spans="1:28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</row>
    <row r="898" spans="1:28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</row>
    <row r="899" spans="1:28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</row>
    <row r="900" spans="1:28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</row>
    <row r="901" spans="1:28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</row>
    <row r="902" spans="1:28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</row>
    <row r="903" spans="1:28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</row>
    <row r="904" spans="1:28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</row>
    <row r="905" spans="1:28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</row>
    <row r="906" spans="1:28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</row>
    <row r="907" spans="1:28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</row>
    <row r="908" spans="1:28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</row>
    <row r="909" spans="1:28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</row>
    <row r="910" spans="1:28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</row>
    <row r="911" spans="1:28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</row>
    <row r="912" spans="1:28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</row>
    <row r="913" spans="1:28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</row>
    <row r="914" spans="1:28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</row>
    <row r="915" spans="1:28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</row>
    <row r="916" spans="1:28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</row>
    <row r="917" spans="1:28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</row>
    <row r="918" spans="1:28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</row>
    <row r="919" spans="1:28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</row>
    <row r="920" spans="1:28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</row>
    <row r="921" spans="1:28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</row>
    <row r="922" spans="1:28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</row>
    <row r="923" spans="1:28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</row>
    <row r="924" spans="1:28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</row>
    <row r="925" spans="1:28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</row>
    <row r="926" spans="1:28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</row>
    <row r="927" spans="1:28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</row>
    <row r="928" spans="1:28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</row>
    <row r="929" spans="1:28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</row>
    <row r="930" spans="1:28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</row>
    <row r="931" spans="1:28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</row>
    <row r="932" spans="1:28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</row>
    <row r="933" spans="1:28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</row>
    <row r="934" spans="1:28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</row>
    <row r="935" spans="1:28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</row>
    <row r="936" spans="1:28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</row>
    <row r="937" spans="1:28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</row>
    <row r="938" spans="1:28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</row>
    <row r="939" spans="1:28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</row>
    <row r="940" spans="1:28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</row>
    <row r="941" spans="1:28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</row>
    <row r="942" spans="1:28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</row>
    <row r="943" spans="1:28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</row>
    <row r="944" spans="1:28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</row>
    <row r="945" spans="1:28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</row>
    <row r="946" spans="1:28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</row>
    <row r="947" spans="1:28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</row>
    <row r="948" spans="1:28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</row>
    <row r="949" spans="1:28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</row>
    <row r="950" spans="1:28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</row>
    <row r="951" spans="1:28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</row>
    <row r="952" spans="1:28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</row>
    <row r="953" spans="1:28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</row>
    <row r="954" spans="1:28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</row>
    <row r="955" spans="1:28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</row>
    <row r="956" spans="1:28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</row>
    <row r="957" spans="1:28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</row>
    <row r="958" spans="1:28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</row>
    <row r="959" spans="1:28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</row>
    <row r="960" spans="1:28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</row>
    <row r="961" spans="1:28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</row>
    <row r="962" spans="1:28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</row>
    <row r="963" spans="1:28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</row>
    <row r="964" spans="1:28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</row>
    <row r="965" spans="1:28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</row>
    <row r="966" spans="1:28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</row>
    <row r="967" spans="1:28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</row>
    <row r="968" spans="1:28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</row>
    <row r="969" spans="1:28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</row>
    <row r="970" spans="1:28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</row>
    <row r="971" spans="1:28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</row>
    <row r="972" spans="1:28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</row>
    <row r="973" spans="1:28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</row>
    <row r="974" spans="1:28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</row>
    <row r="975" spans="1:28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</row>
    <row r="976" spans="1:28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</row>
    <row r="977" spans="1:28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</row>
    <row r="978" spans="1:28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</row>
    <row r="979" spans="1:28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</row>
    <row r="980" spans="1:28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</row>
    <row r="981" spans="1:28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</row>
    <row r="982" spans="1:28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</row>
    <row r="983" spans="1:28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</row>
    <row r="984" spans="1:28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</row>
    <row r="985" spans="1:28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</row>
    <row r="986" spans="1:28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</row>
    <row r="987" spans="1:28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</row>
    <row r="988" spans="1:28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</row>
    <row r="989" spans="1:28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</row>
    <row r="990" spans="1:28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</row>
    <row r="991" spans="1:28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</row>
    <row r="992" spans="1:28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</row>
    <row r="993" spans="1:28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</row>
    <row r="994" spans="1:28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</row>
    <row r="995" spans="1:28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</row>
    <row r="996" spans="1:28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</row>
    <row r="997" spans="1:28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</row>
    <row r="998" spans="1:28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</row>
    <row r="999" spans="1:28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</row>
    <row r="1000" spans="1:28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</row>
    <row r="1001" spans="1:282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</row>
    <row r="1002" spans="1:282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</row>
    <row r="1003" spans="1:282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</row>
    <row r="1004" spans="1:282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</row>
    <row r="1005" spans="1:282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</row>
    <row r="1006" spans="1:282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</row>
    <row r="1007" spans="1:282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</row>
    <row r="1008" spans="1:282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</row>
    <row r="1009" spans="1:282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</row>
    <row r="1010" spans="1:282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</row>
    <row r="1011" spans="1:282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</row>
    <row r="1012" spans="1:282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</row>
    <row r="1013" spans="1:282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</row>
    <row r="1014" spans="1:282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</row>
    <row r="1015" spans="1:282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</row>
    <row r="1016" spans="1:282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</row>
    <row r="1017" spans="1:282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</row>
    <row r="1018" spans="1:282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</row>
    <row r="1019" spans="1:282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</row>
    <row r="1020" spans="1:282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</row>
    <row r="1021" spans="1:282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</row>
    <row r="1022" spans="1:282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</row>
    <row r="1023" spans="1:282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</row>
    <row r="1024" spans="1:282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</row>
    <row r="1025" spans="1:282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</row>
    <row r="1026" spans="1:282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</row>
    <row r="1027" spans="1:282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</row>
    <row r="1028" spans="1:282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</row>
    <row r="1029" spans="1:282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</row>
    <row r="1030" spans="1:282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</row>
    <row r="1031" spans="1:282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</row>
    <row r="1032" spans="1:282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</row>
    <row r="1033" spans="1:282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</row>
    <row r="1034" spans="1:282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</row>
    <row r="1035" spans="1:282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</row>
    <row r="1036" spans="1:282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</row>
    <row r="1037" spans="1:282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</row>
    <row r="1038" spans="1:282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</row>
    <row r="1039" spans="1:282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</row>
    <row r="1040" spans="1:282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</row>
    <row r="1041" spans="1:282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</row>
    <row r="1042" spans="1:282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</row>
    <row r="1043" spans="1:282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</row>
    <row r="1044" spans="1:282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</row>
    <row r="1045" spans="1:282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</row>
    <row r="1046" spans="1:282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</row>
    <row r="1047" spans="1:282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</row>
    <row r="1048" spans="1:282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</row>
    <row r="1049" spans="1:282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</row>
    <row r="1050" spans="1:282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</row>
    <row r="1051" spans="1:282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</row>
    <row r="1052" spans="1:282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</row>
    <row r="1053" spans="1:282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</row>
    <row r="1054" spans="1:282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</row>
    <row r="1055" spans="1:282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</row>
    <row r="1056" spans="1:282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</row>
    <row r="1057" spans="1:282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</row>
    <row r="1058" spans="1:282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</row>
    <row r="1059" spans="1:282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</row>
    <row r="1060" spans="1:282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</row>
    <row r="1061" spans="1:282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</row>
    <row r="1062" spans="1:282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</row>
    <row r="1063" spans="1:282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</row>
    <row r="1064" spans="1:282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</row>
    <row r="1065" spans="1:282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</row>
    <row r="1066" spans="1:282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</row>
    <row r="1067" spans="1:282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</row>
    <row r="1068" spans="1:282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</row>
    <row r="1069" spans="1:282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</row>
    <row r="1070" spans="1:282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</row>
    <row r="1071" spans="1:282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</row>
    <row r="1072" spans="1:282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</row>
    <row r="1073" spans="1:282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</row>
    <row r="1074" spans="1:282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</row>
    <row r="1075" spans="1:282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</row>
    <row r="1076" spans="1:282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  <c r="JV1076" s="1"/>
    </row>
    <row r="1077" spans="1:282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  <c r="JV1077" s="1"/>
    </row>
    <row r="1078" spans="1:282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  <c r="JV1078" s="1"/>
    </row>
    <row r="1079" spans="1:282" x14ac:dyDescent="0.25">
      <c r="B1079" s="1"/>
      <c r="C1079" s="1"/>
      <c r="D1079" s="1"/>
      <c r="E1079" s="1"/>
      <c r="F1079" s="1"/>
      <c r="G1079" s="1"/>
      <c r="H1079" s="1"/>
      <c r="I1079" s="1"/>
    </row>
    <row r="1080" spans="1:282" x14ac:dyDescent="0.25">
      <c r="B1080" s="1"/>
      <c r="C1080" s="1"/>
      <c r="D1080" s="1"/>
      <c r="E1080" s="1"/>
      <c r="F1080" s="1"/>
      <c r="G1080" s="1"/>
      <c r="H1080" s="1"/>
      <c r="I1080" s="1"/>
    </row>
    <row r="1081" spans="1:282" x14ac:dyDescent="0.25">
      <c r="B1081" s="1"/>
      <c r="C1081" s="1"/>
      <c r="D1081" s="1"/>
      <c r="E1081" s="1"/>
      <c r="F1081" s="1"/>
      <c r="G1081" s="1"/>
      <c r="H1081" s="1"/>
      <c r="I1081" s="1"/>
    </row>
    <row r="1082" spans="1:282" x14ac:dyDescent="0.25">
      <c r="B1082" s="1"/>
      <c r="C1082" s="1"/>
      <c r="D1082" s="1"/>
      <c r="E1082" s="1"/>
      <c r="F1082" s="1"/>
      <c r="G1082" s="1"/>
      <c r="H1082" s="1"/>
      <c r="I1082" s="1"/>
    </row>
    <row r="1083" spans="1:282" x14ac:dyDescent="0.25">
      <c r="B1083" s="1"/>
      <c r="C1083" s="1"/>
      <c r="D1083" s="1"/>
      <c r="E1083" s="1"/>
      <c r="F1083" s="1"/>
      <c r="G1083" s="1"/>
      <c r="H1083" s="1"/>
      <c r="I1083" s="1"/>
    </row>
    <row r="1084" spans="1:282" x14ac:dyDescent="0.25">
      <c r="B1084" s="1"/>
      <c r="C1084" s="1"/>
      <c r="D1084" s="1"/>
      <c r="E1084" s="1"/>
      <c r="F1084" s="1"/>
      <c r="G1084" s="1"/>
      <c r="H1084" s="1"/>
      <c r="I1084" s="1"/>
    </row>
    <row r="1085" spans="1:282" x14ac:dyDescent="0.25">
      <c r="B1085" s="1"/>
      <c r="C1085" s="1"/>
      <c r="D1085" s="1"/>
      <c r="E1085" s="1"/>
      <c r="F1085" s="1"/>
      <c r="G1085" s="1"/>
      <c r="H1085" s="1"/>
      <c r="I1085" s="1"/>
    </row>
    <row r="1086" spans="1:282" x14ac:dyDescent="0.25">
      <c r="B1086" s="1"/>
      <c r="C1086" s="1"/>
      <c r="D1086" s="1"/>
      <c r="E1086" s="1"/>
      <c r="F1086" s="1"/>
      <c r="G1086" s="1"/>
      <c r="H1086" s="1"/>
      <c r="I1086" s="1"/>
    </row>
    <row r="1087" spans="1:282" x14ac:dyDescent="0.25">
      <c r="B1087" s="1"/>
      <c r="C1087" s="1"/>
      <c r="D1087" s="1"/>
      <c r="E1087" s="1"/>
      <c r="F1087" s="1"/>
      <c r="G1087" s="1"/>
      <c r="H1087" s="1"/>
      <c r="I1087" s="1"/>
    </row>
    <row r="1088" spans="1:282" x14ac:dyDescent="0.25">
      <c r="B1088" s="1"/>
      <c r="C1088" s="1"/>
      <c r="D1088" s="1"/>
      <c r="E1088" s="1"/>
      <c r="F1088" s="1"/>
      <c r="G1088" s="1"/>
      <c r="H1088" s="1"/>
      <c r="I1088" s="1"/>
    </row>
    <row r="1089" spans="2:9" x14ac:dyDescent="0.25">
      <c r="B1089" s="1"/>
      <c r="C1089" s="1"/>
      <c r="D1089" s="1"/>
      <c r="E1089" s="1"/>
      <c r="F1089" s="1"/>
      <c r="G1089" s="1"/>
      <c r="H1089" s="1"/>
      <c r="I1089" s="1"/>
    </row>
    <row r="1090" spans="2:9" x14ac:dyDescent="0.25">
      <c r="B1090" s="1"/>
      <c r="C1090" s="1"/>
      <c r="D1090" s="1"/>
      <c r="E1090" s="1"/>
      <c r="F1090" s="1"/>
      <c r="G1090" s="1"/>
      <c r="H1090" s="1"/>
      <c r="I1090" s="1"/>
    </row>
    <row r="1091" spans="2:9" x14ac:dyDescent="0.25">
      <c r="B1091" s="1"/>
      <c r="C1091" s="1"/>
      <c r="D1091" s="1"/>
      <c r="E1091" s="1"/>
      <c r="F1091" s="1"/>
      <c r="G1091" s="1"/>
      <c r="H1091" s="1"/>
      <c r="I1091" s="1"/>
    </row>
    <row r="1092" spans="2:9" x14ac:dyDescent="0.25">
      <c r="B1092" s="1"/>
      <c r="C1092" s="1"/>
      <c r="D1092" s="1"/>
      <c r="E1092" s="1"/>
      <c r="F1092" s="1"/>
      <c r="G1092" s="1"/>
      <c r="H1092" s="1"/>
      <c r="I1092" s="1"/>
    </row>
    <row r="1093" spans="2:9" x14ac:dyDescent="0.25">
      <c r="B1093" s="1"/>
      <c r="C1093" s="1"/>
      <c r="D1093" s="1"/>
      <c r="E1093" s="1"/>
      <c r="F1093" s="1"/>
      <c r="G1093" s="1"/>
      <c r="H1093" s="1"/>
      <c r="I1093" s="1"/>
    </row>
    <row r="1094" spans="2:9" x14ac:dyDescent="0.25">
      <c r="B1094" s="1"/>
      <c r="C1094" s="1"/>
      <c r="D1094" s="1"/>
      <c r="E1094" s="1"/>
      <c r="F1094" s="1"/>
      <c r="G1094" s="1"/>
      <c r="H1094" s="1"/>
      <c r="I1094" s="1"/>
    </row>
    <row r="1095" spans="2:9" x14ac:dyDescent="0.25">
      <c r="B1095" s="1"/>
      <c r="C1095" s="1"/>
      <c r="D1095" s="1"/>
      <c r="E1095" s="1"/>
      <c r="F1095" s="1"/>
      <c r="G1095" s="1"/>
      <c r="H1095" s="1"/>
      <c r="I1095" s="1"/>
    </row>
    <row r="1096" spans="2:9" x14ac:dyDescent="0.25">
      <c r="B1096" s="1"/>
      <c r="C1096" s="1"/>
      <c r="D1096" s="1"/>
      <c r="E1096" s="1"/>
      <c r="F1096" s="1"/>
      <c r="G1096" s="1"/>
      <c r="H1096" s="1"/>
      <c r="I1096" s="1"/>
    </row>
    <row r="1097" spans="2:9" x14ac:dyDescent="0.25">
      <c r="B1097" s="1"/>
      <c r="C1097" s="1"/>
      <c r="D1097" s="1"/>
      <c r="E1097" s="1"/>
      <c r="F1097" s="1"/>
      <c r="G1097" s="1"/>
      <c r="H1097" s="1"/>
      <c r="I1097" s="1"/>
    </row>
    <row r="1098" spans="2:9" x14ac:dyDescent="0.25">
      <c r="B1098" s="1"/>
      <c r="C1098" s="1"/>
      <c r="D1098" s="1"/>
      <c r="E1098" s="1"/>
      <c r="F1098" s="1"/>
      <c r="G1098" s="1"/>
      <c r="H1098" s="1"/>
      <c r="I1098" s="1"/>
    </row>
    <row r="1099" spans="2:9" x14ac:dyDescent="0.25">
      <c r="B1099" s="1"/>
      <c r="C1099" s="1"/>
      <c r="D1099" s="1"/>
      <c r="E1099" s="1"/>
      <c r="F1099" s="1"/>
      <c r="G1099" s="1"/>
      <c r="H1099" s="1"/>
      <c r="I1099" s="1"/>
    </row>
    <row r="1100" spans="2:9" x14ac:dyDescent="0.25">
      <c r="B1100" s="1"/>
      <c r="C1100" s="1"/>
      <c r="D1100" s="1"/>
      <c r="E1100" s="1"/>
      <c r="F1100" s="1"/>
      <c r="G1100" s="1"/>
      <c r="H1100" s="1"/>
      <c r="I1100" s="1"/>
    </row>
    <row r="1101" spans="2:9" x14ac:dyDescent="0.25">
      <c r="B1101" s="1"/>
      <c r="C1101" s="1"/>
      <c r="D1101" s="1"/>
      <c r="E1101" s="1"/>
      <c r="F1101" s="1"/>
      <c r="G1101" s="1"/>
      <c r="H1101" s="1"/>
      <c r="I1101" s="1"/>
    </row>
    <row r="1102" spans="2:9" x14ac:dyDescent="0.25">
      <c r="B1102" s="1"/>
      <c r="C1102" s="1"/>
      <c r="D1102" s="1"/>
      <c r="E1102" s="1"/>
      <c r="F1102" s="1"/>
      <c r="G1102" s="1"/>
      <c r="H1102" s="1"/>
      <c r="I1102" s="1"/>
    </row>
    <row r="1103" spans="2:9" x14ac:dyDescent="0.25">
      <c r="B1103" s="1"/>
      <c r="C1103" s="1"/>
      <c r="D1103" s="1"/>
      <c r="E1103" s="1"/>
      <c r="F1103" s="1"/>
      <c r="G1103" s="1"/>
      <c r="H1103" s="1"/>
      <c r="I1103" s="1"/>
    </row>
    <row r="1104" spans="2:9" x14ac:dyDescent="0.25">
      <c r="B1104" s="1"/>
      <c r="C1104" s="1"/>
      <c r="D1104" s="1"/>
      <c r="E1104" s="1"/>
      <c r="F1104" s="1"/>
      <c r="G1104" s="1"/>
      <c r="H1104" s="1"/>
      <c r="I1104" s="1"/>
    </row>
    <row r="1105" spans="2:9" x14ac:dyDescent="0.25">
      <c r="B1105" s="1"/>
      <c r="C1105" s="1"/>
      <c r="D1105" s="1"/>
      <c r="E1105" s="1"/>
      <c r="F1105" s="1"/>
      <c r="G1105" s="1"/>
      <c r="H1105" s="1"/>
      <c r="I1105" s="1"/>
    </row>
    <row r="1106" spans="2:9" x14ac:dyDescent="0.25">
      <c r="B1106" s="1"/>
      <c r="C1106" s="1"/>
      <c r="D1106" s="1"/>
      <c r="E1106" s="1"/>
      <c r="F1106" s="1"/>
      <c r="G1106" s="1"/>
      <c r="H1106" s="1"/>
      <c r="I1106" s="1"/>
    </row>
    <row r="1107" spans="2:9" x14ac:dyDescent="0.25">
      <c r="B1107" s="1"/>
      <c r="C1107" s="1"/>
      <c r="D1107" s="1"/>
      <c r="E1107" s="1"/>
      <c r="F1107" s="1"/>
      <c r="G1107" s="1"/>
      <c r="H1107" s="1"/>
      <c r="I1107" s="1"/>
    </row>
    <row r="1108" spans="2:9" x14ac:dyDescent="0.25">
      <c r="B1108" s="1"/>
      <c r="C1108" s="1"/>
      <c r="D1108" s="1"/>
      <c r="E1108" s="1"/>
      <c r="F1108" s="1"/>
      <c r="G1108" s="1"/>
      <c r="H1108" s="1"/>
      <c r="I1108" s="1"/>
    </row>
    <row r="1109" spans="2:9" x14ac:dyDescent="0.25">
      <c r="B1109" s="1"/>
      <c r="C1109" s="1"/>
      <c r="D1109" s="1"/>
      <c r="E1109" s="1"/>
      <c r="F1109" s="1"/>
      <c r="G1109" s="1"/>
      <c r="H1109" s="1"/>
      <c r="I1109" s="1"/>
    </row>
    <row r="1110" spans="2:9" x14ac:dyDescent="0.25">
      <c r="B1110" s="1"/>
      <c r="C1110" s="1"/>
      <c r="D1110" s="1"/>
      <c r="E1110" s="1"/>
      <c r="F1110" s="1"/>
      <c r="G1110" s="1"/>
      <c r="H1110" s="1"/>
      <c r="I1110" s="1"/>
    </row>
    <row r="1111" spans="2:9" x14ac:dyDescent="0.25">
      <c r="B1111" s="1"/>
      <c r="C1111" s="1"/>
      <c r="D1111" s="1"/>
      <c r="E1111" s="1"/>
      <c r="F1111" s="1"/>
      <c r="G1111" s="1"/>
      <c r="H1111" s="1"/>
      <c r="I1111" s="1"/>
    </row>
    <row r="1112" spans="2:9" x14ac:dyDescent="0.25">
      <c r="B1112" s="1"/>
      <c r="C1112" s="1"/>
      <c r="D1112" s="1"/>
      <c r="E1112" s="1"/>
      <c r="F1112" s="1"/>
      <c r="G1112" s="1"/>
      <c r="H1112" s="1"/>
      <c r="I1112" s="1"/>
    </row>
    <row r="1113" spans="2:9" x14ac:dyDescent="0.25">
      <c r="B1113" s="1"/>
      <c r="C1113" s="1"/>
      <c r="D1113" s="1"/>
      <c r="E1113" s="1"/>
      <c r="F1113" s="1"/>
      <c r="G1113" s="1"/>
      <c r="H1113" s="1"/>
      <c r="I1113" s="1"/>
    </row>
    <row r="1114" spans="2:9" x14ac:dyDescent="0.25">
      <c r="B1114" s="1"/>
      <c r="C1114" s="1"/>
      <c r="D1114" s="1"/>
      <c r="E1114" s="1"/>
      <c r="F1114" s="1"/>
      <c r="G1114" s="1"/>
      <c r="H1114" s="1"/>
      <c r="I1114" s="1"/>
    </row>
    <row r="1115" spans="2:9" x14ac:dyDescent="0.25">
      <c r="B1115" s="1"/>
      <c r="C1115" s="1"/>
      <c r="D1115" s="1"/>
      <c r="E1115" s="1"/>
      <c r="F1115" s="1"/>
      <c r="G1115" s="1"/>
      <c r="H1115" s="1"/>
      <c r="I1115" s="1"/>
    </row>
    <row r="1116" spans="2:9" x14ac:dyDescent="0.25">
      <c r="B1116" s="1"/>
      <c r="C1116" s="1"/>
      <c r="D1116" s="1"/>
      <c r="E1116" s="1"/>
      <c r="F1116" s="1"/>
      <c r="G1116" s="1"/>
      <c r="H1116" s="1"/>
      <c r="I1116" s="1"/>
    </row>
    <row r="1117" spans="2:9" x14ac:dyDescent="0.25">
      <c r="B1117" s="1"/>
      <c r="C1117" s="1"/>
      <c r="D1117" s="1"/>
      <c r="E1117" s="1"/>
      <c r="F1117" s="1"/>
      <c r="G1117" s="1"/>
      <c r="H1117" s="1"/>
      <c r="I1117" s="1"/>
    </row>
    <row r="1118" spans="2:9" x14ac:dyDescent="0.25">
      <c r="B1118" s="1"/>
      <c r="C1118" s="1"/>
      <c r="D1118" s="1"/>
      <c r="E1118" s="1"/>
      <c r="F1118" s="1"/>
      <c r="G1118" s="1"/>
      <c r="H1118" s="1"/>
      <c r="I1118" s="1"/>
    </row>
    <row r="1119" spans="2:9" x14ac:dyDescent="0.25">
      <c r="B1119" s="1"/>
      <c r="C1119" s="1"/>
      <c r="D1119" s="1"/>
      <c r="E1119" s="1"/>
      <c r="F1119" s="1"/>
      <c r="G1119" s="1"/>
      <c r="H1119" s="1"/>
      <c r="I1119" s="1"/>
    </row>
    <row r="1120" spans="2:9" x14ac:dyDescent="0.25">
      <c r="B1120" s="1"/>
      <c r="C1120" s="1"/>
      <c r="D1120" s="1"/>
      <c r="E1120" s="1"/>
      <c r="F1120" s="1"/>
      <c r="G1120" s="1"/>
      <c r="H1120" s="1"/>
      <c r="I1120" s="1"/>
    </row>
    <row r="1121" spans="2:9" x14ac:dyDescent="0.25">
      <c r="B1121" s="1"/>
      <c r="C1121" s="1"/>
      <c r="D1121" s="1"/>
      <c r="E1121" s="1"/>
      <c r="F1121" s="1"/>
      <c r="G1121" s="1"/>
      <c r="H1121" s="1"/>
      <c r="I1121" s="1"/>
    </row>
    <row r="1122" spans="2:9" x14ac:dyDescent="0.25">
      <c r="B1122" s="1"/>
      <c r="C1122" s="1"/>
      <c r="D1122" s="1"/>
      <c r="E1122" s="1"/>
      <c r="F1122" s="1"/>
      <c r="G1122" s="1"/>
      <c r="H1122" s="1"/>
      <c r="I1122" s="1"/>
    </row>
    <row r="1123" spans="2:9" x14ac:dyDescent="0.25">
      <c r="B1123" s="1"/>
      <c r="C1123" s="1"/>
      <c r="D1123" s="1"/>
      <c r="E1123" s="1"/>
      <c r="F1123" s="1"/>
      <c r="G1123" s="1"/>
      <c r="H1123" s="1"/>
      <c r="I1123" s="1"/>
    </row>
    <row r="1124" spans="2:9" x14ac:dyDescent="0.25">
      <c r="B1124" s="1"/>
      <c r="C1124" s="1"/>
      <c r="D1124" s="1"/>
      <c r="E1124" s="1"/>
      <c r="F1124" s="1"/>
      <c r="G1124" s="1"/>
      <c r="H1124" s="1"/>
      <c r="I1124" s="1"/>
    </row>
    <row r="1125" spans="2:9" x14ac:dyDescent="0.25">
      <c r="B1125" s="1"/>
      <c r="C1125" s="1"/>
      <c r="D1125" s="1"/>
      <c r="E1125" s="1"/>
      <c r="F1125" s="1"/>
      <c r="G1125" s="1"/>
      <c r="H1125" s="1"/>
      <c r="I1125" s="1"/>
    </row>
    <row r="1126" spans="2:9" x14ac:dyDescent="0.25">
      <c r="B1126" s="1"/>
      <c r="C1126" s="1"/>
      <c r="D1126" s="1"/>
      <c r="E1126" s="1"/>
      <c r="F1126" s="1"/>
      <c r="G1126" s="1"/>
      <c r="H1126" s="1"/>
      <c r="I1126" s="1"/>
    </row>
    <row r="1127" spans="2:9" x14ac:dyDescent="0.25">
      <c r="B1127" s="1"/>
      <c r="C1127" s="1"/>
      <c r="D1127" s="1"/>
      <c r="E1127" s="1"/>
      <c r="F1127" s="1"/>
      <c r="G1127" s="1"/>
      <c r="H1127" s="1"/>
      <c r="I1127" s="1"/>
    </row>
    <row r="1128" spans="2:9" x14ac:dyDescent="0.25">
      <c r="B1128" s="1"/>
      <c r="C1128" s="1"/>
      <c r="D1128" s="1"/>
      <c r="E1128" s="1"/>
      <c r="F1128" s="1"/>
      <c r="G1128" s="1"/>
      <c r="H1128" s="1"/>
      <c r="I1128" s="1"/>
    </row>
    <row r="1129" spans="2:9" x14ac:dyDescent="0.25">
      <c r="B1129" s="1"/>
      <c r="C1129" s="1"/>
      <c r="D1129" s="1"/>
      <c r="E1129" s="1"/>
      <c r="F1129" s="1"/>
      <c r="G1129" s="1"/>
      <c r="H1129" s="1"/>
      <c r="I1129" s="1"/>
    </row>
  </sheetData>
  <phoneticPr fontId="3" type="noConversion"/>
  <conditionalFormatting sqref="D8:D20">
    <cfRule type="containsText" dxfId="35" priority="21" operator="containsText" text="On Hold">
      <formula>NOT(ISERROR(SEARCH("On Hold",D8)))</formula>
    </cfRule>
    <cfRule type="containsText" dxfId="34" priority="22" operator="containsText" text="Complete">
      <formula>NOT(ISERROR(SEARCH("Complete",D8)))</formula>
    </cfRule>
    <cfRule type="containsText" dxfId="33" priority="23" operator="containsText" text="In Progress">
      <formula>NOT(ISERROR(SEARCH("In Progress",D8)))</formula>
    </cfRule>
    <cfRule type="containsText" dxfId="32" priority="24" operator="containsText" text="Not Started">
      <formula>NOT(ISERROR(SEARCH("Not Started",D8)))</formula>
    </cfRule>
  </conditionalFormatting>
  <conditionalFormatting sqref="D9:D16">
    <cfRule type="cellIs" dxfId="31" priority="19" operator="equal">
      <formula>"No Iniciado"</formula>
    </cfRule>
    <cfRule type="cellIs" dxfId="30" priority="17" operator="equal">
      <formula>"En Espera"</formula>
    </cfRule>
    <cfRule type="cellIs" dxfId="29" priority="18" operator="equal">
      <formula>"En Progreso"</formula>
    </cfRule>
    <cfRule type="cellIs" dxfId="28" priority="20" operator="equal">
      <formula>"Completo"</formula>
    </cfRule>
  </conditionalFormatting>
  <conditionalFormatting sqref="D18:D29">
    <cfRule type="cellIs" dxfId="27" priority="9" operator="equal">
      <formula>"En Espera"</formula>
    </cfRule>
    <cfRule type="cellIs" dxfId="26" priority="10" operator="equal">
      <formula>"En Progreso"</formula>
    </cfRule>
    <cfRule type="cellIs" dxfId="25" priority="11" operator="equal">
      <formula>"No Iniciado"</formula>
    </cfRule>
    <cfRule type="cellIs" dxfId="24" priority="12" operator="equal">
      <formula>"Completo"</formula>
    </cfRule>
  </conditionalFormatting>
  <conditionalFormatting sqref="D21">
    <cfRule type="containsText" dxfId="23" priority="16" operator="containsText" text="Not Started">
      <formula>NOT(ISERROR(SEARCH("Not Started",D21)))</formula>
    </cfRule>
    <cfRule type="containsText" dxfId="22" priority="13" operator="containsText" text="On Hold">
      <formula>NOT(ISERROR(SEARCH("On Hold",D21)))</formula>
    </cfRule>
    <cfRule type="containsText" dxfId="21" priority="14" operator="containsText" text="Complete">
      <formula>NOT(ISERROR(SEARCH("Complete",D21)))</formula>
    </cfRule>
    <cfRule type="containsText" dxfId="20" priority="15" operator="containsText" text="In Progress">
      <formula>NOT(ISERROR(SEARCH("In Progress",D21)))</formula>
    </cfRule>
  </conditionalFormatting>
  <conditionalFormatting sqref="D22:D59 D61:D72 D74:D83">
    <cfRule type="containsText" dxfId="19" priority="49" operator="containsText" text="On Hold">
      <formula>NOT(ISERROR(SEARCH("On Hold",D22)))</formula>
    </cfRule>
    <cfRule type="containsText" dxfId="18" priority="50" operator="containsText" text="Complete">
      <formula>NOT(ISERROR(SEARCH("Complete",D22)))</formula>
    </cfRule>
    <cfRule type="containsText" dxfId="17" priority="51" operator="containsText" text="In Progress">
      <formula>NOT(ISERROR(SEARCH("In Progress",D22)))</formula>
    </cfRule>
    <cfRule type="containsText" dxfId="16" priority="52" operator="containsText" text="Not Started">
      <formula>NOT(ISERROR(SEARCH("Not Started",D22)))</formula>
    </cfRule>
  </conditionalFormatting>
  <conditionalFormatting sqref="D31:D46 D48:D59 D61:D72 D74:D83">
    <cfRule type="cellIs" dxfId="15" priority="45" operator="equal">
      <formula>"En Espera"</formula>
    </cfRule>
    <cfRule type="cellIs" dxfId="14" priority="46" operator="equal">
      <formula>"En Progreso"</formula>
    </cfRule>
    <cfRule type="cellIs" dxfId="13" priority="47" operator="equal">
      <formula>"No Iniciado"</formula>
    </cfRule>
    <cfRule type="cellIs" dxfId="12" priority="48" operator="equal">
      <formula>"Completo"</formula>
    </cfRule>
  </conditionalFormatting>
  <conditionalFormatting sqref="D60">
    <cfRule type="containsText" dxfId="11" priority="5" operator="containsText" text="On Hold">
      <formula>NOT(ISERROR(SEARCH("On Hold",D60)))</formula>
    </cfRule>
    <cfRule type="containsText" dxfId="10" priority="6" operator="containsText" text="Complete">
      <formula>NOT(ISERROR(SEARCH("Complete",D60)))</formula>
    </cfRule>
    <cfRule type="containsText" dxfId="9" priority="7" operator="containsText" text="In Progress">
      <formula>NOT(ISERROR(SEARCH("In Progress",D60)))</formula>
    </cfRule>
    <cfRule type="containsText" dxfId="8" priority="8" operator="containsText" text="Not Started">
      <formula>NOT(ISERROR(SEARCH("Not Started",D60)))</formula>
    </cfRule>
  </conditionalFormatting>
  <conditionalFormatting sqref="D73">
    <cfRule type="containsText" dxfId="7" priority="3" operator="containsText" text="In Progress">
      <formula>NOT(ISERROR(SEARCH("In Progress",D73)))</formula>
    </cfRule>
    <cfRule type="containsText" dxfId="6" priority="4" operator="containsText" text="Not Started">
      <formula>NOT(ISERROR(SEARCH("Not Started",D73)))</formula>
    </cfRule>
    <cfRule type="containsText" dxfId="5" priority="1" operator="containsText" text="On Hold">
      <formula>NOT(ISERROR(SEARCH("On Hold",D73)))</formula>
    </cfRule>
    <cfRule type="containsText" dxfId="4" priority="2" operator="containsText" text="Complete">
      <formula>NOT(ISERROR(SEARCH("Complete",D73)))</formula>
    </cfRule>
  </conditionalFormatting>
  <conditionalFormatting sqref="K8:K11">
    <cfRule type="containsText" dxfId="3" priority="61" stopIfTrue="1" operator="containsText" text="On Hold">
      <formula>NOT(ISERROR(SEARCH("On Hold",K8)))</formula>
    </cfRule>
    <cfRule type="containsText" dxfId="2" priority="62" operator="containsText" text="Complete">
      <formula>NOT(ISERROR(SEARCH("Complete",K8)))</formula>
    </cfRule>
    <cfRule type="containsText" dxfId="1" priority="63" operator="containsText" text="In Progress">
      <formula>NOT(ISERROR(SEARCH("In Progress",K8)))</formula>
    </cfRule>
    <cfRule type="containsText" dxfId="0" priority="64" operator="containsText" text="Not Started">
      <formula>NOT(ISERROR(SEARCH("Not Started",K8)))</formula>
    </cfRule>
  </conditionalFormatting>
  <dataValidations count="1">
    <dataValidation type="list" allowBlank="1" showInputMessage="1" showErrorMessage="1" sqref="D8:D83" xr:uid="{00000000-0002-0000-0000-000000000000}">
      <formula1>$K$8:$K$11</formula1>
    </dataValidation>
  </dataValidations>
  <pageMargins left="0.3" right="0.3" top="0.3" bottom="0.3" header="0" footer="0"/>
  <pageSetup scale="70" fitToHeight="0" orientation="landscape" horizontalDpi="4294967292" vertic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89EA-CA12-479E-8EE6-23F99B21680B}">
  <dimension ref="A1:D77"/>
  <sheetViews>
    <sheetView topLeftCell="A68" zoomScale="85" zoomScaleNormal="85" workbookViewId="0">
      <selection activeCell="D85" sqref="D85"/>
    </sheetView>
  </sheetViews>
  <sheetFormatPr baseColWidth="10" defaultRowHeight="15.6" x14ac:dyDescent="0.3"/>
  <cols>
    <col min="2" max="3" width="13" bestFit="1" customWidth="1"/>
  </cols>
  <sheetData>
    <row r="1" spans="1:4" ht="42" thickBot="1" x14ac:dyDescent="0.35">
      <c r="A1" s="41" t="s">
        <v>2</v>
      </c>
      <c r="B1" s="44" t="s">
        <v>5</v>
      </c>
      <c r="C1" s="45" t="s">
        <v>6</v>
      </c>
      <c r="D1" s="41" t="s">
        <v>7</v>
      </c>
    </row>
    <row r="2" spans="1:4" x14ac:dyDescent="0.3">
      <c r="A2" s="66" t="s">
        <v>21</v>
      </c>
      <c r="B2" s="98">
        <v>46060</v>
      </c>
      <c r="C2" s="99">
        <v>46080</v>
      </c>
      <c r="D2" s="47">
        <f t="shared" ref="D2:D33" si="0">IF(B2=0,0,C2-B2)+1</f>
        <v>21</v>
      </c>
    </row>
    <row r="3" spans="1:4" ht="69" x14ac:dyDescent="0.3">
      <c r="A3" s="73" t="s">
        <v>25</v>
      </c>
      <c r="B3" s="100">
        <v>46060</v>
      </c>
      <c r="C3" s="100">
        <v>46069</v>
      </c>
      <c r="D3" s="53">
        <f t="shared" si="0"/>
        <v>10</v>
      </c>
    </row>
    <row r="4" spans="1:4" ht="55.2" x14ac:dyDescent="0.3">
      <c r="A4" s="73" t="s">
        <v>27</v>
      </c>
      <c r="B4" s="100">
        <v>46060</v>
      </c>
      <c r="C4" s="100">
        <v>46061</v>
      </c>
      <c r="D4" s="53">
        <f t="shared" si="0"/>
        <v>2</v>
      </c>
    </row>
    <row r="5" spans="1:4" ht="41.4" x14ac:dyDescent="0.3">
      <c r="A5" s="73" t="s">
        <v>29</v>
      </c>
      <c r="B5" s="100">
        <v>46062</v>
      </c>
      <c r="C5" s="100">
        <v>46064</v>
      </c>
      <c r="D5" s="53">
        <f t="shared" si="0"/>
        <v>3</v>
      </c>
    </row>
    <row r="6" spans="1:4" ht="41.4" x14ac:dyDescent="0.3">
      <c r="A6" s="73" t="s">
        <v>31</v>
      </c>
      <c r="B6" s="100">
        <v>46065</v>
      </c>
      <c r="C6" s="100">
        <v>46069</v>
      </c>
      <c r="D6" s="53">
        <f t="shared" si="0"/>
        <v>5</v>
      </c>
    </row>
    <row r="7" spans="1:4" ht="69" x14ac:dyDescent="0.3">
      <c r="A7" s="73" t="s">
        <v>26</v>
      </c>
      <c r="B7" s="100">
        <v>46070</v>
      </c>
      <c r="C7" s="100">
        <v>46080</v>
      </c>
      <c r="D7" s="53">
        <f t="shared" si="0"/>
        <v>11</v>
      </c>
    </row>
    <row r="8" spans="1:4" ht="55.2" x14ac:dyDescent="0.3">
      <c r="A8" s="73" t="s">
        <v>32</v>
      </c>
      <c r="B8" s="100">
        <v>46070</v>
      </c>
      <c r="C8" s="100">
        <v>46073</v>
      </c>
      <c r="D8" s="53">
        <f t="shared" si="0"/>
        <v>4</v>
      </c>
    </row>
    <row r="9" spans="1:4" ht="55.2" x14ac:dyDescent="0.3">
      <c r="A9" s="73" t="s">
        <v>33</v>
      </c>
      <c r="B9" s="100">
        <v>46074</v>
      </c>
      <c r="C9" s="100">
        <v>46076</v>
      </c>
      <c r="D9" s="53">
        <f t="shared" si="0"/>
        <v>3</v>
      </c>
    </row>
    <row r="10" spans="1:4" ht="41.4" x14ac:dyDescent="0.3">
      <c r="A10" s="73" t="s">
        <v>34</v>
      </c>
      <c r="B10" s="100">
        <v>46077</v>
      </c>
      <c r="C10" s="95">
        <v>46080</v>
      </c>
      <c r="D10" s="53">
        <f t="shared" si="0"/>
        <v>4</v>
      </c>
    </row>
    <row r="11" spans="1:4" ht="30" x14ac:dyDescent="0.3">
      <c r="A11" s="19" t="s">
        <v>22</v>
      </c>
      <c r="B11" s="101">
        <v>46081</v>
      </c>
      <c r="C11" s="102">
        <v>46101</v>
      </c>
      <c r="D11" s="26">
        <f t="shared" si="0"/>
        <v>21</v>
      </c>
    </row>
    <row r="12" spans="1:4" ht="69" x14ac:dyDescent="0.3">
      <c r="A12" s="73" t="s">
        <v>38</v>
      </c>
      <c r="B12" s="100">
        <v>46081</v>
      </c>
      <c r="C12" s="95">
        <v>46087</v>
      </c>
      <c r="D12" s="54">
        <f t="shared" si="0"/>
        <v>7</v>
      </c>
    </row>
    <row r="13" spans="1:4" ht="41.4" x14ac:dyDescent="0.3">
      <c r="A13" s="73" t="s">
        <v>39</v>
      </c>
      <c r="B13" s="100">
        <v>46081</v>
      </c>
      <c r="C13" s="95">
        <v>46082</v>
      </c>
      <c r="D13" s="54">
        <f t="shared" si="0"/>
        <v>2</v>
      </c>
    </row>
    <row r="14" spans="1:4" ht="55.2" x14ac:dyDescent="0.3">
      <c r="A14" s="73" t="s">
        <v>40</v>
      </c>
      <c r="B14" s="100">
        <v>46083</v>
      </c>
      <c r="C14" s="95">
        <v>46084</v>
      </c>
      <c r="D14" s="54">
        <f t="shared" si="0"/>
        <v>2</v>
      </c>
    </row>
    <row r="15" spans="1:4" ht="42" thickBot="1" x14ac:dyDescent="0.35">
      <c r="A15" s="74" t="s">
        <v>41</v>
      </c>
      <c r="B15" s="103">
        <v>46085</v>
      </c>
      <c r="C15" s="104">
        <v>46087</v>
      </c>
      <c r="D15" s="55">
        <f t="shared" si="0"/>
        <v>3</v>
      </c>
    </row>
    <row r="16" spans="1:4" ht="27.6" x14ac:dyDescent="0.3">
      <c r="A16" s="75" t="s">
        <v>45</v>
      </c>
      <c r="B16" s="105">
        <v>46088</v>
      </c>
      <c r="C16" s="106">
        <v>46094</v>
      </c>
      <c r="D16" s="71">
        <f t="shared" si="0"/>
        <v>7</v>
      </c>
    </row>
    <row r="17" spans="1:4" ht="41.4" x14ac:dyDescent="0.3">
      <c r="A17" s="75" t="s">
        <v>46</v>
      </c>
      <c r="B17" s="105">
        <v>46088</v>
      </c>
      <c r="C17" s="106">
        <v>46089</v>
      </c>
      <c r="D17" s="71">
        <f t="shared" si="0"/>
        <v>2</v>
      </c>
    </row>
    <row r="18" spans="1:4" ht="55.2" x14ac:dyDescent="0.3">
      <c r="A18" s="75" t="s">
        <v>47</v>
      </c>
      <c r="B18" s="105">
        <v>46090</v>
      </c>
      <c r="C18" s="106">
        <v>46092</v>
      </c>
      <c r="D18" s="71">
        <f t="shared" si="0"/>
        <v>3</v>
      </c>
    </row>
    <row r="19" spans="1:4" ht="55.2" x14ac:dyDescent="0.3">
      <c r="A19" s="75" t="s">
        <v>48</v>
      </c>
      <c r="B19" s="105">
        <v>46093</v>
      </c>
      <c r="C19" s="106">
        <v>46094</v>
      </c>
      <c r="D19" s="71">
        <f t="shared" si="0"/>
        <v>2</v>
      </c>
    </row>
    <row r="20" spans="1:4" ht="55.2" x14ac:dyDescent="0.3">
      <c r="A20" s="75" t="s">
        <v>49</v>
      </c>
      <c r="B20" s="105">
        <v>46095</v>
      </c>
      <c r="C20" s="106">
        <v>46101</v>
      </c>
      <c r="D20" s="71">
        <f t="shared" si="0"/>
        <v>7</v>
      </c>
    </row>
    <row r="21" spans="1:4" ht="55.2" x14ac:dyDescent="0.3">
      <c r="A21" s="75" t="s">
        <v>50</v>
      </c>
      <c r="B21" s="105">
        <v>46095</v>
      </c>
      <c r="C21" s="106">
        <v>46096</v>
      </c>
      <c r="D21" s="71">
        <f t="shared" si="0"/>
        <v>2</v>
      </c>
    </row>
    <row r="22" spans="1:4" ht="55.2" x14ac:dyDescent="0.3">
      <c r="A22" s="75" t="s">
        <v>51</v>
      </c>
      <c r="B22" s="105">
        <v>46097</v>
      </c>
      <c r="C22" s="106">
        <v>46098</v>
      </c>
      <c r="D22" s="71">
        <f t="shared" si="0"/>
        <v>2</v>
      </c>
    </row>
    <row r="23" spans="1:4" ht="42" thickBot="1" x14ac:dyDescent="0.35">
      <c r="A23" s="74" t="s">
        <v>52</v>
      </c>
      <c r="B23" s="103">
        <v>46099</v>
      </c>
      <c r="C23" s="104">
        <v>46100</v>
      </c>
      <c r="D23" s="55">
        <f t="shared" si="0"/>
        <v>2</v>
      </c>
    </row>
    <row r="24" spans="1:4" ht="75" x14ac:dyDescent="0.3">
      <c r="A24" s="20" t="s">
        <v>23</v>
      </c>
      <c r="B24" s="107">
        <v>46102</v>
      </c>
      <c r="C24" s="108">
        <v>46122</v>
      </c>
      <c r="D24" s="31">
        <f t="shared" si="0"/>
        <v>21</v>
      </c>
    </row>
    <row r="25" spans="1:4" ht="27.6" x14ac:dyDescent="0.3">
      <c r="A25" s="73" t="s">
        <v>56</v>
      </c>
      <c r="B25" s="100">
        <v>46102</v>
      </c>
      <c r="C25" s="95">
        <v>46106</v>
      </c>
      <c r="D25" s="56">
        <f t="shared" si="0"/>
        <v>5</v>
      </c>
    </row>
    <row r="26" spans="1:4" ht="41.4" x14ac:dyDescent="0.3">
      <c r="A26" s="73" t="s">
        <v>57</v>
      </c>
      <c r="B26" s="100">
        <v>46102</v>
      </c>
      <c r="C26" s="95">
        <v>46103</v>
      </c>
      <c r="D26" s="56">
        <f t="shared" si="0"/>
        <v>2</v>
      </c>
    </row>
    <row r="27" spans="1:4" ht="41.4" x14ac:dyDescent="0.3">
      <c r="A27" s="73" t="s">
        <v>58</v>
      </c>
      <c r="B27" s="100">
        <v>46104</v>
      </c>
      <c r="C27" s="95">
        <v>46105</v>
      </c>
      <c r="D27" s="56">
        <f t="shared" si="0"/>
        <v>2</v>
      </c>
    </row>
    <row r="28" spans="1:4" ht="41.4" x14ac:dyDescent="0.3">
      <c r="A28" s="73" t="s">
        <v>59</v>
      </c>
      <c r="B28" s="100">
        <v>46106</v>
      </c>
      <c r="C28" s="95">
        <v>46106</v>
      </c>
      <c r="D28" s="56">
        <f t="shared" si="0"/>
        <v>1</v>
      </c>
    </row>
    <row r="29" spans="1:4" ht="41.4" x14ac:dyDescent="0.3">
      <c r="A29" s="73" t="s">
        <v>63</v>
      </c>
      <c r="B29" s="100">
        <v>46107</v>
      </c>
      <c r="C29" s="95">
        <v>46112</v>
      </c>
      <c r="D29" s="56">
        <f t="shared" si="0"/>
        <v>6</v>
      </c>
    </row>
    <row r="30" spans="1:4" ht="41.4" x14ac:dyDescent="0.3">
      <c r="A30" s="73" t="s">
        <v>64</v>
      </c>
      <c r="B30" s="100">
        <v>46107</v>
      </c>
      <c r="C30" s="100">
        <v>46108</v>
      </c>
      <c r="D30" s="56">
        <f t="shared" si="0"/>
        <v>2</v>
      </c>
    </row>
    <row r="31" spans="1:4" ht="41.4" x14ac:dyDescent="0.3">
      <c r="A31" s="73" t="s">
        <v>65</v>
      </c>
      <c r="B31" s="100">
        <v>46109</v>
      </c>
      <c r="C31" s="95">
        <v>46110</v>
      </c>
      <c r="D31" s="56">
        <f t="shared" si="0"/>
        <v>2</v>
      </c>
    </row>
    <row r="32" spans="1:4" ht="27.6" x14ac:dyDescent="0.3">
      <c r="A32" s="73" t="s">
        <v>66</v>
      </c>
      <c r="B32" s="100">
        <v>46111</v>
      </c>
      <c r="C32" s="95">
        <v>46112</v>
      </c>
      <c r="D32" s="56">
        <f t="shared" si="0"/>
        <v>2</v>
      </c>
    </row>
    <row r="33" spans="1:4" ht="41.4" x14ac:dyDescent="0.3">
      <c r="A33" s="73" t="s">
        <v>70</v>
      </c>
      <c r="B33" s="100">
        <v>46113</v>
      </c>
      <c r="C33" s="95">
        <v>46117</v>
      </c>
      <c r="D33" s="56">
        <f t="shared" si="0"/>
        <v>5</v>
      </c>
    </row>
    <row r="34" spans="1:4" ht="27.6" x14ac:dyDescent="0.3">
      <c r="A34" s="73" t="s">
        <v>71</v>
      </c>
      <c r="B34" s="100">
        <v>46113</v>
      </c>
      <c r="C34" s="95">
        <v>46114</v>
      </c>
      <c r="D34" s="56">
        <f t="shared" ref="D34:D65" si="1">IF(B34=0,0,C34-B34)+1</f>
        <v>2</v>
      </c>
    </row>
    <row r="35" spans="1:4" ht="41.4" x14ac:dyDescent="0.3">
      <c r="A35" s="73" t="s">
        <v>72</v>
      </c>
      <c r="B35" s="100">
        <v>46115</v>
      </c>
      <c r="C35" s="95">
        <v>46116</v>
      </c>
      <c r="D35" s="56">
        <f t="shared" si="1"/>
        <v>2</v>
      </c>
    </row>
    <row r="36" spans="1:4" ht="55.2" x14ac:dyDescent="0.3">
      <c r="A36" s="73" t="s">
        <v>73</v>
      </c>
      <c r="B36" s="100">
        <v>46117</v>
      </c>
      <c r="C36" s="100">
        <v>46117</v>
      </c>
      <c r="D36" s="56">
        <f t="shared" si="1"/>
        <v>1</v>
      </c>
    </row>
    <row r="37" spans="1:4" ht="55.2" x14ac:dyDescent="0.3">
      <c r="A37" s="73" t="s">
        <v>77</v>
      </c>
      <c r="B37" s="100">
        <v>46118</v>
      </c>
      <c r="C37" s="95">
        <v>46122</v>
      </c>
      <c r="D37" s="56">
        <f t="shared" si="1"/>
        <v>5</v>
      </c>
    </row>
    <row r="38" spans="1:4" ht="55.2" x14ac:dyDescent="0.3">
      <c r="A38" s="73" t="s">
        <v>78</v>
      </c>
      <c r="B38" s="100">
        <v>46118</v>
      </c>
      <c r="C38" s="100">
        <v>46118</v>
      </c>
      <c r="D38" s="56">
        <f t="shared" si="1"/>
        <v>1</v>
      </c>
    </row>
    <row r="39" spans="1:4" ht="28.2" thickBot="1" x14ac:dyDescent="0.35">
      <c r="A39" s="74" t="s">
        <v>79</v>
      </c>
      <c r="B39" s="100">
        <v>46119</v>
      </c>
      <c r="C39" s="95">
        <v>46120</v>
      </c>
      <c r="D39" s="56">
        <f t="shared" si="1"/>
        <v>2</v>
      </c>
    </row>
    <row r="40" spans="1:4" ht="42" thickBot="1" x14ac:dyDescent="0.35">
      <c r="A40" s="74" t="s">
        <v>80</v>
      </c>
      <c r="B40" s="103">
        <v>46121</v>
      </c>
      <c r="C40" s="104">
        <v>46122</v>
      </c>
      <c r="D40" s="57">
        <f t="shared" si="1"/>
        <v>2</v>
      </c>
    </row>
    <row r="41" spans="1:4" ht="75" x14ac:dyDescent="0.3">
      <c r="A41" s="21" t="s">
        <v>24</v>
      </c>
      <c r="B41" s="109">
        <v>46123</v>
      </c>
      <c r="C41" s="110">
        <v>46136</v>
      </c>
      <c r="D41" s="36">
        <f t="shared" si="1"/>
        <v>14</v>
      </c>
    </row>
    <row r="42" spans="1:4" ht="55.2" x14ac:dyDescent="0.3">
      <c r="A42" s="73" t="s">
        <v>84</v>
      </c>
      <c r="B42" s="100">
        <v>46123</v>
      </c>
      <c r="C42" s="95">
        <v>46126</v>
      </c>
      <c r="D42" s="58">
        <f t="shared" si="1"/>
        <v>4</v>
      </c>
    </row>
    <row r="43" spans="1:4" ht="41.4" x14ac:dyDescent="0.3">
      <c r="A43" s="73" t="s">
        <v>85</v>
      </c>
      <c r="B43" s="100">
        <v>46123</v>
      </c>
      <c r="C43" s="100">
        <v>46123</v>
      </c>
      <c r="D43" s="58">
        <f t="shared" si="1"/>
        <v>1</v>
      </c>
    </row>
    <row r="44" spans="1:4" ht="41.4" x14ac:dyDescent="0.3">
      <c r="A44" s="73" t="s">
        <v>86</v>
      </c>
      <c r="B44" s="100">
        <v>46124</v>
      </c>
      <c r="C44" s="100">
        <v>46124</v>
      </c>
      <c r="D44" s="58">
        <f t="shared" si="1"/>
        <v>1</v>
      </c>
    </row>
    <row r="45" spans="1:4" ht="55.2" x14ac:dyDescent="0.3">
      <c r="A45" s="75" t="s">
        <v>87</v>
      </c>
      <c r="B45" s="105">
        <v>46125</v>
      </c>
      <c r="C45" s="106">
        <v>46126</v>
      </c>
      <c r="D45" s="58">
        <f t="shared" si="1"/>
        <v>2</v>
      </c>
    </row>
    <row r="46" spans="1:4" ht="41.4" x14ac:dyDescent="0.3">
      <c r="A46" s="75" t="s">
        <v>91</v>
      </c>
      <c r="B46" s="105">
        <v>46127</v>
      </c>
      <c r="C46" s="106">
        <v>46131</v>
      </c>
      <c r="D46" s="58">
        <f t="shared" si="1"/>
        <v>5</v>
      </c>
    </row>
    <row r="47" spans="1:4" ht="41.4" x14ac:dyDescent="0.3">
      <c r="A47" s="75" t="s">
        <v>92</v>
      </c>
      <c r="B47" s="105">
        <v>46127</v>
      </c>
      <c r="C47" s="106">
        <v>46128</v>
      </c>
      <c r="D47" s="58">
        <f t="shared" si="1"/>
        <v>2</v>
      </c>
    </row>
    <row r="48" spans="1:4" ht="41.4" x14ac:dyDescent="0.3">
      <c r="A48" s="75" t="s">
        <v>93</v>
      </c>
      <c r="B48" s="105">
        <v>46129</v>
      </c>
      <c r="C48" s="106">
        <v>46130</v>
      </c>
      <c r="D48" s="58">
        <f t="shared" si="1"/>
        <v>2</v>
      </c>
    </row>
    <row r="49" spans="1:4" ht="27.6" x14ac:dyDescent="0.3">
      <c r="A49" s="75" t="s">
        <v>94</v>
      </c>
      <c r="B49" s="105">
        <v>46131</v>
      </c>
      <c r="C49" s="105">
        <v>46131</v>
      </c>
      <c r="D49" s="58">
        <f t="shared" si="1"/>
        <v>1</v>
      </c>
    </row>
    <row r="50" spans="1:4" ht="55.2" x14ac:dyDescent="0.3">
      <c r="A50" s="75" t="s">
        <v>101</v>
      </c>
      <c r="B50" s="105">
        <v>46132</v>
      </c>
      <c r="C50" s="106">
        <v>46136</v>
      </c>
      <c r="D50" s="58">
        <f t="shared" si="1"/>
        <v>5</v>
      </c>
    </row>
    <row r="51" spans="1:4" ht="69" x14ac:dyDescent="0.3">
      <c r="A51" s="75" t="s">
        <v>98</v>
      </c>
      <c r="B51" s="105">
        <v>46132</v>
      </c>
      <c r="C51" s="106">
        <v>46133</v>
      </c>
      <c r="D51" s="58">
        <f t="shared" si="1"/>
        <v>2</v>
      </c>
    </row>
    <row r="52" spans="1:4" ht="27.6" x14ac:dyDescent="0.3">
      <c r="A52" s="75" t="s">
        <v>99</v>
      </c>
      <c r="B52" s="105">
        <v>46134</v>
      </c>
      <c r="C52" s="106">
        <v>46135</v>
      </c>
      <c r="D52" s="97">
        <f t="shared" si="1"/>
        <v>2</v>
      </c>
    </row>
    <row r="53" spans="1:4" ht="41.4" x14ac:dyDescent="0.3">
      <c r="A53" s="75" t="s">
        <v>100</v>
      </c>
      <c r="B53" s="105">
        <v>46136</v>
      </c>
      <c r="C53" s="105">
        <v>46136</v>
      </c>
      <c r="D53" s="58">
        <f t="shared" si="1"/>
        <v>1</v>
      </c>
    </row>
    <row r="54" spans="1:4" ht="60" x14ac:dyDescent="0.3">
      <c r="A54" s="77" t="s">
        <v>105</v>
      </c>
      <c r="B54" s="111">
        <v>46137</v>
      </c>
      <c r="C54" s="112">
        <v>46145</v>
      </c>
      <c r="D54" s="82">
        <f t="shared" si="1"/>
        <v>9</v>
      </c>
    </row>
    <row r="55" spans="1:4" ht="41.4" x14ac:dyDescent="0.3">
      <c r="A55" s="75" t="s">
        <v>112</v>
      </c>
      <c r="B55" s="105">
        <v>46137</v>
      </c>
      <c r="C55" s="106">
        <v>46139</v>
      </c>
      <c r="D55" s="96">
        <f t="shared" si="1"/>
        <v>3</v>
      </c>
    </row>
    <row r="56" spans="1:4" ht="27.6" x14ac:dyDescent="0.3">
      <c r="A56" s="75" t="s">
        <v>106</v>
      </c>
      <c r="B56" s="105">
        <v>46137</v>
      </c>
      <c r="C56" s="105">
        <v>46137</v>
      </c>
      <c r="D56" s="96">
        <f t="shared" si="1"/>
        <v>1</v>
      </c>
    </row>
    <row r="57" spans="1:4" ht="55.2" x14ac:dyDescent="0.3">
      <c r="A57" s="75" t="s">
        <v>107</v>
      </c>
      <c r="B57" s="105">
        <v>46138</v>
      </c>
      <c r="C57" s="105">
        <v>46138</v>
      </c>
      <c r="D57" s="96">
        <f t="shared" si="1"/>
        <v>1</v>
      </c>
    </row>
    <row r="58" spans="1:4" ht="41.4" x14ac:dyDescent="0.3">
      <c r="A58" s="75" t="s">
        <v>108</v>
      </c>
      <c r="B58" s="105">
        <v>46139</v>
      </c>
      <c r="C58" s="105">
        <v>46139</v>
      </c>
      <c r="D58" s="96">
        <f t="shared" si="1"/>
        <v>1</v>
      </c>
    </row>
    <row r="59" spans="1:4" ht="27.6" x14ac:dyDescent="0.3">
      <c r="A59" s="75" t="s">
        <v>119</v>
      </c>
      <c r="B59" s="105">
        <v>46140</v>
      </c>
      <c r="C59" s="106">
        <v>46142</v>
      </c>
      <c r="D59" s="96">
        <f t="shared" si="1"/>
        <v>3</v>
      </c>
    </row>
    <row r="60" spans="1:4" ht="55.2" x14ac:dyDescent="0.3">
      <c r="A60" s="75" t="s">
        <v>113</v>
      </c>
      <c r="B60" s="105">
        <v>46140</v>
      </c>
      <c r="C60" s="105">
        <v>46140</v>
      </c>
      <c r="D60" s="96">
        <f t="shared" si="1"/>
        <v>1</v>
      </c>
    </row>
    <row r="61" spans="1:4" ht="27.6" x14ac:dyDescent="0.3">
      <c r="A61" s="75" t="s">
        <v>114</v>
      </c>
      <c r="B61" s="105">
        <v>46141</v>
      </c>
      <c r="C61" s="105">
        <v>46141</v>
      </c>
      <c r="D61" s="96">
        <f t="shared" si="1"/>
        <v>1</v>
      </c>
    </row>
    <row r="62" spans="1:4" ht="27.6" x14ac:dyDescent="0.3">
      <c r="A62" s="75" t="s">
        <v>115</v>
      </c>
      <c r="B62" s="105">
        <v>46142</v>
      </c>
      <c r="C62" s="105">
        <v>46142</v>
      </c>
      <c r="D62" s="96">
        <f t="shared" si="1"/>
        <v>1</v>
      </c>
    </row>
    <row r="63" spans="1:4" ht="55.2" x14ac:dyDescent="0.3">
      <c r="A63" s="75" t="s">
        <v>140</v>
      </c>
      <c r="B63" s="105">
        <v>46143</v>
      </c>
      <c r="C63" s="106">
        <v>46145</v>
      </c>
      <c r="D63" s="96">
        <f t="shared" si="1"/>
        <v>3</v>
      </c>
    </row>
    <row r="64" spans="1:4" ht="41.4" x14ac:dyDescent="0.3">
      <c r="A64" s="75" t="s">
        <v>144</v>
      </c>
      <c r="B64" s="105">
        <v>46143</v>
      </c>
      <c r="C64" s="105">
        <v>46143</v>
      </c>
      <c r="D64" s="96">
        <f t="shared" si="1"/>
        <v>1</v>
      </c>
    </row>
    <row r="65" spans="1:4" ht="41.4" x14ac:dyDescent="0.3">
      <c r="A65" s="75" t="s">
        <v>120</v>
      </c>
      <c r="B65" s="105">
        <v>46144</v>
      </c>
      <c r="C65" s="105">
        <v>46144</v>
      </c>
      <c r="D65" s="96">
        <f t="shared" si="1"/>
        <v>1</v>
      </c>
    </row>
    <row r="66" spans="1:4" ht="41.4" x14ac:dyDescent="0.3">
      <c r="A66" s="75" t="s">
        <v>121</v>
      </c>
      <c r="B66" s="105">
        <v>46145</v>
      </c>
      <c r="C66" s="105">
        <v>46145</v>
      </c>
      <c r="D66" s="96">
        <f t="shared" ref="D66:D97" si="2">IF(B66=0,0,C66-B66)+1</f>
        <v>1</v>
      </c>
    </row>
    <row r="67" spans="1:4" ht="45" x14ac:dyDescent="0.3">
      <c r="A67" s="84" t="s">
        <v>125</v>
      </c>
      <c r="B67" s="113">
        <v>46146</v>
      </c>
      <c r="C67" s="114">
        <v>46150</v>
      </c>
      <c r="D67" s="89">
        <f t="shared" si="2"/>
        <v>5</v>
      </c>
    </row>
    <row r="68" spans="1:4" ht="69" x14ac:dyDescent="0.3">
      <c r="A68" s="75" t="s">
        <v>141</v>
      </c>
      <c r="B68" s="105">
        <v>46146</v>
      </c>
      <c r="C68" s="106">
        <v>46147</v>
      </c>
      <c r="D68" s="76">
        <f t="shared" si="2"/>
        <v>2</v>
      </c>
    </row>
    <row r="69" spans="1:4" ht="41.4" x14ac:dyDescent="0.3">
      <c r="A69" s="75" t="s">
        <v>126</v>
      </c>
      <c r="B69" s="105">
        <v>46146</v>
      </c>
      <c r="C69" s="105">
        <v>46146</v>
      </c>
      <c r="D69" s="76">
        <f t="shared" si="2"/>
        <v>1</v>
      </c>
    </row>
    <row r="70" spans="1:4" ht="27.6" x14ac:dyDescent="0.3">
      <c r="A70" s="75" t="s">
        <v>127</v>
      </c>
      <c r="B70" s="105">
        <v>46147</v>
      </c>
      <c r="C70" s="105">
        <v>46147</v>
      </c>
      <c r="D70" s="76">
        <f t="shared" si="2"/>
        <v>1</v>
      </c>
    </row>
    <row r="71" spans="1:4" ht="41.4" x14ac:dyDescent="0.3">
      <c r="A71" s="75" t="s">
        <v>142</v>
      </c>
      <c r="B71" s="105">
        <v>46148</v>
      </c>
      <c r="C71" s="106">
        <v>46149</v>
      </c>
      <c r="D71" s="76">
        <f t="shared" si="2"/>
        <v>2</v>
      </c>
    </row>
    <row r="72" spans="1:4" ht="41.4" x14ac:dyDescent="0.3">
      <c r="A72" s="75" t="s">
        <v>128</v>
      </c>
      <c r="B72" s="105">
        <v>46148</v>
      </c>
      <c r="C72" s="105">
        <v>46148</v>
      </c>
      <c r="D72" s="76">
        <f t="shared" si="2"/>
        <v>1</v>
      </c>
    </row>
    <row r="73" spans="1:4" ht="27.6" x14ac:dyDescent="0.3">
      <c r="A73" s="75" t="s">
        <v>129</v>
      </c>
      <c r="B73" s="106">
        <v>46149</v>
      </c>
      <c r="C73" s="106">
        <v>46149</v>
      </c>
      <c r="D73" s="76">
        <f t="shared" si="2"/>
        <v>1</v>
      </c>
    </row>
    <row r="74" spans="1:4" ht="27.6" x14ac:dyDescent="0.3">
      <c r="A74" s="75" t="s">
        <v>130</v>
      </c>
      <c r="B74" s="106">
        <v>46149</v>
      </c>
      <c r="C74" s="106">
        <v>46149</v>
      </c>
      <c r="D74" s="76">
        <f t="shared" si="2"/>
        <v>1</v>
      </c>
    </row>
    <row r="75" spans="1:4" ht="41.4" x14ac:dyDescent="0.3">
      <c r="A75" s="75" t="s">
        <v>143</v>
      </c>
      <c r="B75" s="105">
        <v>46150</v>
      </c>
      <c r="C75" s="105">
        <v>46150</v>
      </c>
      <c r="D75" s="76">
        <f t="shared" si="2"/>
        <v>1</v>
      </c>
    </row>
    <row r="76" spans="1:4" ht="27.6" x14ac:dyDescent="0.3">
      <c r="A76" s="75" t="s">
        <v>131</v>
      </c>
      <c r="B76" s="105">
        <v>46150</v>
      </c>
      <c r="C76" s="105">
        <v>46150</v>
      </c>
      <c r="D76" s="76">
        <f t="shared" si="2"/>
        <v>1</v>
      </c>
    </row>
    <row r="77" spans="1:4" ht="27.6" x14ac:dyDescent="0.3">
      <c r="A77" s="75" t="s">
        <v>132</v>
      </c>
      <c r="B77" s="105">
        <v>46150</v>
      </c>
      <c r="C77" s="105">
        <v>46150</v>
      </c>
      <c r="D77" s="76">
        <f t="shared" si="2"/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Example - Project Plan Template</vt:lpstr>
      <vt:lpstr>Hoja1</vt:lpstr>
      <vt:lpstr>'Example - Project Plan Template'!Área_de_impresión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NICOLAS FELIPE  NUMPAQUE TORRES</cp:lastModifiedBy>
  <dcterms:created xsi:type="dcterms:W3CDTF">2015-02-24T20:54:23Z</dcterms:created>
  <dcterms:modified xsi:type="dcterms:W3CDTF">2026-02-28T03:46:57Z</dcterms:modified>
</cp:coreProperties>
</file>