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7D630F02-9095-4063-AC94-FAB2B95039A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ample - Project Plan Template" sheetId="1" r:id="rId1"/>
    <sheet name="Hoja1" sheetId="2" state="hidden" r:id="rId2"/>
  </sheets>
  <definedNames>
    <definedName name="_xlnm.Print_Area" localSheetId="0">'Example - Project Plan Template'!$B$1:$I$85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7" i="2" l="1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H75" i="1"/>
  <c r="H76" i="1"/>
  <c r="H77" i="1"/>
  <c r="H78" i="1"/>
  <c r="H79" i="1"/>
  <c r="H80" i="1"/>
  <c r="H81" i="1"/>
  <c r="H82" i="1"/>
  <c r="H83" i="1"/>
  <c r="H74" i="1"/>
  <c r="H71" i="1"/>
  <c r="H61" i="1"/>
  <c r="H62" i="1"/>
  <c r="H63" i="1"/>
  <c r="H64" i="1"/>
  <c r="H65" i="1"/>
  <c r="H66" i="1"/>
  <c r="H67" i="1"/>
  <c r="H68" i="1"/>
  <c r="H69" i="1"/>
  <c r="H70" i="1"/>
  <c r="H72" i="1"/>
  <c r="H51" i="1"/>
  <c r="H52" i="1"/>
  <c r="H53" i="1"/>
  <c r="H54" i="1"/>
  <c r="H55" i="1"/>
  <c r="H56" i="1"/>
  <c r="H57" i="1"/>
  <c r="H58" i="1"/>
  <c r="H59" i="1"/>
  <c r="H33" i="1"/>
  <c r="H34" i="1"/>
  <c r="H35" i="1"/>
  <c r="H36" i="1"/>
  <c r="H37" i="1"/>
  <c r="H38" i="1"/>
  <c r="H39" i="1"/>
  <c r="H40" i="1"/>
  <c r="H41" i="1"/>
  <c r="H32" i="1"/>
  <c r="H28" i="1"/>
  <c r="H27" i="1"/>
  <c r="H26" i="1"/>
  <c r="H25" i="1"/>
  <c r="H24" i="1"/>
  <c r="H23" i="1"/>
  <c r="H22" i="1"/>
  <c r="H73" i="1"/>
  <c r="H60" i="1"/>
  <c r="H42" i="1"/>
  <c r="H21" i="1"/>
  <c r="H11" i="1"/>
  <c r="H10" i="1"/>
  <c r="H5" i="1"/>
  <c r="H12" i="1" l="1"/>
  <c r="H13" i="1"/>
  <c r="H14" i="1"/>
  <c r="H15" i="1"/>
  <c r="H16" i="1"/>
  <c r="H17" i="1"/>
  <c r="H18" i="1"/>
  <c r="H19" i="1"/>
  <c r="H20" i="1"/>
  <c r="H29" i="1"/>
  <c r="H30" i="1"/>
  <c r="H31" i="1"/>
  <c r="H43" i="1"/>
  <c r="H44" i="1"/>
  <c r="H45" i="1"/>
  <c r="H46" i="1"/>
  <c r="H47" i="1"/>
  <c r="H48" i="1"/>
  <c r="H49" i="1"/>
  <c r="H50" i="1"/>
  <c r="H9" i="1"/>
  <c r="H8" i="1"/>
</calcChain>
</file>

<file path=xl/sharedStrings.xml><?xml version="1.0" encoding="utf-8"?>
<sst xmlns="http://schemas.openxmlformats.org/spreadsheetml/2006/main" count="356" uniqueCount="151">
  <si>
    <t>1.1.1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</si>
  <si>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</si>
  <si>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</si>
  <si>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</si>
  <si>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</si>
  <si>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</si>
  <si>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</si>
  <si>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</si>
  <si>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</si>
  <si>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Título del Proyecto</t>
  </si>
  <si>
    <t>Gerente del Proyecto</t>
  </si>
  <si>
    <t>Fecha inicio</t>
  </si>
  <si>
    <t>Fecha Fin</t>
  </si>
  <si>
    <t>Duracion del proyecto</t>
  </si>
  <si>
    <t>en dias</t>
  </si>
  <si>
    <t>Completo</t>
  </si>
  <si>
    <t>En progreso</t>
  </si>
  <si>
    <t>No Iniciado</t>
  </si>
  <si>
    <t>En Espera</t>
  </si>
  <si>
    <t xml:space="preserve">Modelo Predictivo calidad del aire </t>
  </si>
  <si>
    <t>Juan Esteban Guerrero</t>
  </si>
  <si>
    <t>Inicio del Proyecto</t>
  </si>
  <si>
    <t>Planificación</t>
  </si>
  <si>
    <t>Preparación y Análisis de Datos</t>
  </si>
  <si>
    <t>Desarrollo del Modelo Predictivo</t>
  </si>
  <si>
    <t>Elaboración del Acta de Constitución</t>
  </si>
  <si>
    <t>Definición del alcance y cronograma</t>
  </si>
  <si>
    <t>Definir objetivos del proyecto</t>
  </si>
  <si>
    <t>1.1.2</t>
  </si>
  <si>
    <t>Identificar stakeholders</t>
  </si>
  <si>
    <t>1.1.3</t>
  </si>
  <si>
    <t>Formalizar aprobación inicial</t>
  </si>
  <si>
    <t xml:space="preserve"> Delimitar alcance del proyecto</t>
  </si>
  <si>
    <t>Definir entregables principales</t>
  </si>
  <si>
    <t>Establecer cronograma general</t>
  </si>
  <si>
    <t>1,2.1</t>
  </si>
  <si>
    <t>1,2.2</t>
  </si>
  <si>
    <t>1,2.3</t>
  </si>
  <si>
    <t>Estimar recursos, costos y presupuestos</t>
  </si>
  <si>
    <t>Definir recursos humanos</t>
  </si>
  <si>
    <t>Estimar recursos tecnológicos</t>
  </si>
  <si>
    <t>Calcular presupuesto total</t>
  </si>
  <si>
    <t>2,1,1</t>
  </si>
  <si>
    <t>2,1,2</t>
  </si>
  <si>
    <t>2,1,3</t>
  </si>
  <si>
    <t>Identificar riesgos</t>
  </si>
  <si>
    <t>Listar riesgos técnicos</t>
  </si>
  <si>
    <t>Analizar probabilidad e impacto</t>
  </si>
  <si>
    <t>Definir estrategias de mitigación</t>
  </si>
  <si>
    <t>Plan de comunicación y reuniones</t>
  </si>
  <si>
    <t>Definir canales de comunicación</t>
  </si>
  <si>
    <t>Establecer frecuencia de reuniones</t>
  </si>
  <si>
    <t>Asignar responsables</t>
  </si>
  <si>
    <t>2,3,1</t>
  </si>
  <si>
    <t>2,3,2</t>
  </si>
  <si>
    <t>2,3,3</t>
  </si>
  <si>
    <t>Obtención del dataset</t>
  </si>
  <si>
    <t>Buscar fuentes oficiales</t>
  </si>
  <si>
    <t>Descargar datos históricos</t>
  </si>
  <si>
    <t>Verificar integridad del dataset</t>
  </si>
  <si>
    <t>3,1,1</t>
  </si>
  <si>
    <t>3,1,2</t>
  </si>
  <si>
    <t>3,1,3</t>
  </si>
  <si>
    <t>Limpieza y depuración de datos</t>
  </si>
  <si>
    <t>Eliminar valores nulos</t>
  </si>
  <si>
    <t>Corregir inconsistencias</t>
  </si>
  <si>
    <t>Normalizar datos</t>
  </si>
  <si>
    <t>3,2,1</t>
  </si>
  <si>
    <t>3,2,2</t>
  </si>
  <si>
    <t>3,2,3</t>
  </si>
  <si>
    <t>Análisis descriptivo (EDA)</t>
  </si>
  <si>
    <t>Análisis estadístico</t>
  </si>
  <si>
    <t>Identificación de patrones</t>
  </si>
  <si>
    <t>Visualización de correlaciones</t>
  </si>
  <si>
    <t>3,3,1</t>
  </si>
  <si>
    <t>3,3,2</t>
  </si>
  <si>
    <t>3,3,3</t>
  </si>
  <si>
    <t>Selección y preparación de variables</t>
  </si>
  <si>
    <t>Selección de variables relevantes</t>
  </si>
  <si>
    <t>División train/test</t>
  </si>
  <si>
    <t>Transformación de variables</t>
  </si>
  <si>
    <t>3,4,1</t>
  </si>
  <si>
    <t>3,4,2</t>
  </si>
  <si>
    <t>3,4,3</t>
  </si>
  <si>
    <t>Diseño de arquitectura de red neuronal</t>
  </si>
  <si>
    <t>Definir número de capas</t>
  </si>
  <si>
    <t>Definir neuronas por capa</t>
  </si>
  <si>
    <t>Seleccionar funciones de activación</t>
  </si>
  <si>
    <t>4,1,1</t>
  </si>
  <si>
    <t>4,1,2</t>
  </si>
  <si>
    <t>4,1,3</t>
  </si>
  <si>
    <t>Entrenamiento del modelo</t>
  </si>
  <si>
    <t>Configurar hiperparámetros</t>
  </si>
  <si>
    <t>Entrenar con datos históricos</t>
  </si>
  <si>
    <t>Ajustar iteraciones</t>
  </si>
  <si>
    <t>4,2,1</t>
  </si>
  <si>
    <t>4,2,2</t>
  </si>
  <si>
    <t>4,2,3</t>
  </si>
  <si>
    <t>Calcular métricas de desempeño</t>
  </si>
  <si>
    <t>Ajustar parámetros</t>
  </si>
  <si>
    <t>Validar modelo final</t>
  </si>
  <si>
    <t>Evaluación y optimización</t>
  </si>
  <si>
    <t>4,3,1</t>
  </si>
  <si>
    <t>4,3,2</t>
  </si>
  <si>
    <t>4,3,3</t>
  </si>
  <si>
    <t>Desarrollo de la Aplicación Web</t>
  </si>
  <si>
    <t>Diseño visual</t>
  </si>
  <si>
    <t>Definición de experiencia de usuario</t>
  </si>
  <si>
    <t>Validación de prototipo</t>
  </si>
  <si>
    <t>5,1,1</t>
  </si>
  <si>
    <t>5,1,2</t>
  </si>
  <si>
    <t>5,1,3</t>
  </si>
  <si>
    <t>Diseño de interfaz (Mockups)</t>
  </si>
  <si>
    <t>Implementación interfaz responsiva</t>
  </si>
  <si>
    <t>Conexión con API</t>
  </si>
  <si>
    <t>Pruebas visuales</t>
  </si>
  <si>
    <t>5,2,1</t>
  </si>
  <si>
    <t>5,2,2</t>
  </si>
  <si>
    <t>5,2,3</t>
  </si>
  <si>
    <t>Desarrollo Frontend</t>
  </si>
  <si>
    <t>Integración del modelo predictivo</t>
  </si>
  <si>
    <t>Pruebas de funcionamiento</t>
  </si>
  <si>
    <t>5,3,1</t>
  </si>
  <si>
    <t>5,3,2</t>
  </si>
  <si>
    <t>5,3,3</t>
  </si>
  <si>
    <t>Cierre del Proyecto</t>
  </si>
  <si>
    <t>Documentación del modelo</t>
  </si>
  <si>
    <t>Manual de usuario</t>
  </si>
  <si>
    <t>Redacción de resultados</t>
  </si>
  <si>
    <t>Lecciones aprendidas</t>
  </si>
  <si>
    <t>Conclusiones</t>
  </si>
  <si>
    <t>Acta de cierre</t>
  </si>
  <si>
    <t>Aprobación final</t>
  </si>
  <si>
    <t>6,1,1</t>
  </si>
  <si>
    <t>6,2,1</t>
  </si>
  <si>
    <t>6,3,1</t>
  </si>
  <si>
    <t>6,1,2</t>
  </si>
  <si>
    <t>6,2,2</t>
  </si>
  <si>
    <t>6,2,3</t>
  </si>
  <si>
    <t>6,3,2</t>
  </si>
  <si>
    <t>Desarrollo Backend e integración del modelo</t>
  </si>
  <si>
    <t>Documentación técnica y manual de usuario</t>
  </si>
  <si>
    <t>Informe final del proyecto</t>
  </si>
  <si>
    <t>Cierre formal del proyecto</t>
  </si>
  <si>
    <t>Despliegue de la pagina</t>
  </si>
  <si>
    <t>Nicolas Numpaque</t>
  </si>
  <si>
    <t xml:space="preserve">Juan Esteban </t>
  </si>
  <si>
    <t xml:space="preserve">Nicolas Moreno </t>
  </si>
  <si>
    <t xml:space="preserve">Luis Guillermo </t>
  </si>
  <si>
    <t>2,2,1</t>
  </si>
  <si>
    <t>2,2,2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</si>
</sst>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  <font>
      <sz val="14"/>
      <color theme="1"/>
      <name val="Arial"/>
      <family val="2"/>
    </font>
    <font>
      <sz val="12"/>
      <name val="Century Gothic"/>
      <family val="1"/>
    </font>
    <font>
      <sz val="10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111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7" borderId="3" xfId="0" applyFont="1" applyFill="1" applyBorder="1" applyAlignment="1">
      <alignment horizontal="left" vertical="center" wrapText="1" indent="1"/>
    </xf>
    <xf numFmtId="0" fontId="4" fillId="8" borderId="3" xfId="0" applyFont="1" applyFill="1" applyBorder="1" applyAlignment="1">
      <alignment horizontal="left" vertical="center" wrapText="1" indent="1"/>
    </xf>
    <xf numFmtId="0" fontId="9" fillId="9" borderId="3" xfId="0" applyFont="1" applyFill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/>
    </xf>
    <xf numFmtId="0" fontId="10" fillId="8" borderId="3" xfId="0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 readingOrder="1"/>
    </xf>
    <xf numFmtId="164" fontId="10" fillId="7" borderId="3" xfId="0" applyNumberFormat="1" applyFont="1" applyFill="1" applyBorder="1" applyAlignment="1">
      <alignment horizontal="left" vertical="center" wrapText="1" indent="1"/>
    </xf>
    <xf numFmtId="165" fontId="10" fillId="7" borderId="3" xfId="0" applyNumberFormat="1" applyFont="1" applyFill="1" applyBorder="1" applyAlignment="1">
      <alignment horizontal="left" vertical="center" wrapText="1" indent="1" readingOrder="1"/>
    </xf>
    <xf numFmtId="165" fontId="10" fillId="7" borderId="3" xfId="0" applyNumberFormat="1" applyFont="1" applyFill="1" applyBorder="1" applyAlignment="1">
      <alignment horizontal="left" vertical="center" wrapText="1" indent="1"/>
    </xf>
    <xf numFmtId="1" fontId="10" fillId="7" borderId="3" xfId="0" applyNumberFormat="1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left" vertical="center" wrapText="1" indent="1" readingOrder="1"/>
    </xf>
    <xf numFmtId="164" fontId="12" fillId="8" borderId="3" xfId="0" applyNumberFormat="1" applyFont="1" applyFill="1" applyBorder="1" applyAlignment="1">
      <alignment horizontal="left" vertical="center" wrapText="1" indent="1"/>
    </xf>
    <xf numFmtId="165" fontId="10" fillId="8" borderId="3" xfId="0" applyNumberFormat="1" applyFont="1" applyFill="1" applyBorder="1" applyAlignment="1">
      <alignment horizontal="left" vertical="center" wrapText="1" indent="1" readingOrder="1"/>
    </xf>
    <xf numFmtId="165" fontId="10" fillId="8" borderId="3" xfId="0" applyNumberFormat="1" applyFont="1" applyFill="1" applyBorder="1" applyAlignment="1">
      <alignment horizontal="left" vertical="center" wrapText="1" indent="1"/>
    </xf>
    <xf numFmtId="1" fontId="10" fillId="8" borderId="3" xfId="0" applyNumberFormat="1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 readingOrder="1"/>
    </xf>
    <xf numFmtId="164" fontId="10" fillId="9" borderId="3" xfId="0" applyNumberFormat="1" applyFont="1" applyFill="1" applyBorder="1" applyAlignment="1">
      <alignment horizontal="left" vertical="center" wrapText="1" indent="1"/>
    </xf>
    <xf numFmtId="165" fontId="10" fillId="9" borderId="3" xfId="0" applyNumberFormat="1" applyFont="1" applyFill="1" applyBorder="1" applyAlignment="1">
      <alignment horizontal="left" vertical="center" wrapText="1" indent="1" readingOrder="1"/>
    </xf>
    <xf numFmtId="165" fontId="10" fillId="9" borderId="3" xfId="0" applyNumberFormat="1" applyFont="1" applyFill="1" applyBorder="1" applyAlignment="1">
      <alignment horizontal="left" vertical="center" wrapText="1" indent="1"/>
    </xf>
    <xf numFmtId="1" fontId="10" fillId="9" borderId="3" xfId="0" applyNumberFormat="1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10" fillId="6" borderId="3" xfId="0" applyFont="1" applyFill="1" applyBorder="1" applyAlignment="1">
      <alignment horizontal="left" vertical="center" wrapText="1" indent="1"/>
    </xf>
    <xf numFmtId="0" fontId="13" fillId="4" borderId="6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165" fontId="10" fillId="6" borderId="3" xfId="0" applyNumberFormat="1" applyFont="1" applyFill="1" applyBorder="1" applyAlignment="1">
      <alignment horizontal="left" vertical="center" wrapText="1" indent="1"/>
    </xf>
    <xf numFmtId="0" fontId="13" fillId="10" borderId="6" xfId="0" applyFont="1" applyFill="1" applyBorder="1" applyAlignment="1">
      <alignment horizontal="left" vertical="center" wrapText="1" indent="1"/>
    </xf>
    <xf numFmtId="0" fontId="13" fillId="10" borderId="4" xfId="0" applyFont="1" applyFill="1" applyBorder="1" applyAlignment="1">
      <alignment horizontal="left" vertical="center" wrapText="1" indent="1"/>
    </xf>
    <xf numFmtId="165" fontId="10" fillId="6" borderId="7" xfId="0" applyNumberFormat="1" applyFont="1" applyFill="1" applyBorder="1" applyAlignment="1">
      <alignment horizontal="left" vertical="center" wrapText="1" indent="1"/>
    </xf>
    <xf numFmtId="1" fontId="10" fillId="6" borderId="3" xfId="0" applyNumberFormat="1" applyFont="1" applyFill="1" applyBorder="1" applyAlignment="1">
      <alignment horizontal="left" vertical="center" wrapText="1" indent="1"/>
    </xf>
    <xf numFmtId="0" fontId="9" fillId="6" borderId="3" xfId="0" applyFont="1" applyFill="1" applyBorder="1" applyAlignment="1">
      <alignment horizontal="left" vertical="center" wrapText="1" indent="1"/>
    </xf>
    <xf numFmtId="165" fontId="5" fillId="0" borderId="1" xfId="0" applyNumberFormat="1" applyFont="1" applyBorder="1" applyAlignment="1">
      <alignment horizontal="left" vertical="center" wrapText="1" indent="1" readingOrder="1"/>
    </xf>
    <xf numFmtId="165" fontId="4" fillId="0" borderId="1" xfId="0" applyNumberFormat="1" applyFont="1" applyBorder="1" applyAlignment="1">
      <alignment horizontal="left" vertical="center" wrapText="1" indent="1"/>
    </xf>
    <xf numFmtId="165" fontId="5" fillId="0" borderId="2" xfId="0" applyNumberFormat="1" applyFont="1" applyBorder="1" applyAlignment="1">
      <alignment horizontal="left" vertical="center" wrapText="1" indent="1" readingOrder="1"/>
    </xf>
    <xf numFmtId="165" fontId="4" fillId="0" borderId="2" xfId="0" applyNumberFormat="1" applyFont="1" applyBorder="1" applyAlignment="1">
      <alignment horizontal="left" vertical="center" wrapText="1" indent="1"/>
    </xf>
    <xf numFmtId="1" fontId="4" fillId="11" borderId="1" xfId="0" applyNumberFormat="1" applyFont="1" applyFill="1" applyBorder="1" applyAlignment="1">
      <alignment horizontal="left" vertical="center" wrapText="1" indent="1"/>
    </xf>
    <xf numFmtId="1" fontId="4" fillId="12" borderId="1" xfId="0" applyNumberFormat="1" applyFont="1" applyFill="1" applyBorder="1" applyAlignment="1">
      <alignment horizontal="left" vertical="center" wrapText="1" indent="1"/>
    </xf>
    <xf numFmtId="1" fontId="4" fillId="12" borderId="2" xfId="0" applyNumberFormat="1" applyFont="1" applyFill="1" applyBorder="1" applyAlignment="1">
      <alignment horizontal="left" vertical="center" wrapText="1" indent="1"/>
    </xf>
    <xf numFmtId="1" fontId="4" fillId="13" borderId="1" xfId="0" applyNumberFormat="1" applyFont="1" applyFill="1" applyBorder="1" applyAlignment="1">
      <alignment horizontal="left" vertical="center" wrapText="1" indent="1"/>
    </xf>
    <xf numFmtId="1" fontId="4" fillId="13" borderId="2" xfId="0" applyNumberFormat="1" applyFont="1" applyFill="1" applyBorder="1" applyAlignment="1">
      <alignment horizontal="left" vertical="center" wrapText="1" indent="1"/>
    </xf>
    <xf numFmtId="1" fontId="4" fillId="3" borderId="1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65" fontId="4" fillId="0" borderId="4" xfId="0" applyNumberFormat="1" applyFont="1" applyBorder="1" applyAlignment="1">
      <alignment horizontal="left" vertical="center" wrapText="1" indent="1"/>
    </xf>
    <xf numFmtId="1" fontId="4" fillId="11" borderId="8" xfId="0" applyNumberFormat="1" applyFont="1" applyFill="1" applyBorder="1" applyAlignment="1">
      <alignment horizontal="left" vertical="center" wrapText="1" indent="1"/>
    </xf>
    <xf numFmtId="0" fontId="15" fillId="2" borderId="0" xfId="0" applyFont="1" applyFill="1" applyAlignment="1">
      <alignment vertical="center"/>
    </xf>
    <xf numFmtId="0" fontId="5" fillId="14" borderId="1" xfId="0" applyFont="1" applyFill="1" applyBorder="1" applyAlignment="1">
      <alignment horizontal="left" vertical="center" wrapText="1" indent="1" readingOrder="1"/>
    </xf>
    <xf numFmtId="0" fontId="4" fillId="5" borderId="3" xfId="0" applyFont="1" applyFill="1" applyBorder="1" applyAlignment="1">
      <alignment horizontal="left" vertical="center" wrapText="1" indent="1"/>
    </xf>
    <xf numFmtId="0" fontId="14" fillId="4" borderId="6" xfId="0" applyFont="1" applyFill="1" applyBorder="1" applyAlignment="1">
      <alignment horizontal="left" vertical="center" wrapText="1" indent="1"/>
    </xf>
    <xf numFmtId="0" fontId="10" fillId="6" borderId="0" xfId="0" applyFont="1" applyFill="1" applyAlignment="1">
      <alignment horizontal="left" vertical="center" indent="1"/>
    </xf>
    <xf numFmtId="0" fontId="5" fillId="15" borderId="1" xfId="0" applyFont="1" applyFill="1" applyBorder="1" applyAlignment="1">
      <alignment horizontal="left" vertical="center" wrapText="1" indent="1" readingOrder="1"/>
    </xf>
    <xf numFmtId="0" fontId="4" fillId="16" borderId="1" xfId="0" applyFont="1" applyFill="1" applyBorder="1" applyAlignment="1">
      <alignment horizontal="left" vertical="center" wrapText="1" indent="1"/>
    </xf>
    <xf numFmtId="164" fontId="4" fillId="2" borderId="4" xfId="0" applyNumberFormat="1" applyFont="1" applyFill="1" applyBorder="1" applyAlignment="1">
      <alignment horizontal="left" vertical="center" wrapText="1" indent="1"/>
    </xf>
    <xf numFmtId="165" fontId="5" fillId="0" borderId="4" xfId="0" applyNumberFormat="1" applyFont="1" applyBorder="1" applyAlignment="1">
      <alignment horizontal="left" vertical="center" wrapText="1" indent="1" readingOrder="1"/>
    </xf>
    <xf numFmtId="1" fontId="4" fillId="12" borderId="4" xfId="0" applyNumberFormat="1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1" fontId="4" fillId="3" borderId="4" xfId="0" applyNumberFormat="1" applyFont="1" applyFill="1" applyBorder="1" applyAlignment="1">
      <alignment horizontal="left" vertical="center" wrapText="1" indent="1"/>
    </xf>
    <xf numFmtId="0" fontId="10" fillId="17" borderId="3" xfId="0" applyFont="1" applyFill="1" applyBorder="1" applyAlignment="1">
      <alignment horizontal="left" vertical="center" wrapText="1" indent="1"/>
    </xf>
    <xf numFmtId="0" fontId="10" fillId="17" borderId="3" xfId="0" applyFont="1" applyFill="1" applyBorder="1" applyAlignment="1">
      <alignment horizontal="left" vertical="center" wrapText="1" indent="1" readingOrder="1"/>
    </xf>
    <xf numFmtId="164" fontId="10" fillId="17" borderId="3" xfId="0" applyNumberFormat="1" applyFont="1" applyFill="1" applyBorder="1" applyAlignment="1">
      <alignment horizontal="left" vertical="center" wrapText="1" indent="1"/>
    </xf>
    <xf numFmtId="165" fontId="10" fillId="17" borderId="3" xfId="0" applyNumberFormat="1" applyFont="1" applyFill="1" applyBorder="1" applyAlignment="1">
      <alignment horizontal="left" vertical="center" wrapText="1" indent="1" readingOrder="1"/>
    </xf>
    <xf numFmtId="165" fontId="10" fillId="17" borderId="3" xfId="0" applyNumberFormat="1" applyFont="1" applyFill="1" applyBorder="1" applyAlignment="1">
      <alignment horizontal="left" vertical="center" wrapText="1" indent="1"/>
    </xf>
    <xf numFmtId="1" fontId="10" fillId="17" borderId="3" xfId="0" applyNumberFormat="1" applyFont="1" applyFill="1" applyBorder="1" applyAlignment="1">
      <alignment horizontal="left" vertical="center" wrapText="1" indent="1"/>
    </xf>
    <xf numFmtId="0" fontId="9" fillId="17" borderId="3" xfId="0" applyFont="1" applyFill="1" applyBorder="1" applyAlignment="1">
      <alignment horizontal="left" vertical="center" wrapText="1" indent="1"/>
    </xf>
    <xf numFmtId="0" fontId="10" fillId="18" borderId="3" xfId="0" applyFont="1" applyFill="1" applyBorder="1" applyAlignment="1">
      <alignment horizontal="left" vertical="center" wrapText="1" indent="1"/>
    </xf>
    <xf numFmtId="0" fontId="10" fillId="18" borderId="3" xfId="0" applyFont="1" applyFill="1" applyBorder="1" applyAlignment="1">
      <alignment horizontal="left" vertical="center" wrapText="1" indent="1" readingOrder="1"/>
    </xf>
    <xf numFmtId="164" fontId="10" fillId="18" borderId="3" xfId="0" applyNumberFormat="1" applyFont="1" applyFill="1" applyBorder="1" applyAlignment="1">
      <alignment horizontal="left" vertical="center" wrapText="1" indent="1"/>
    </xf>
    <xf numFmtId="165" fontId="10" fillId="18" borderId="3" xfId="0" applyNumberFormat="1" applyFont="1" applyFill="1" applyBorder="1" applyAlignment="1">
      <alignment horizontal="left" vertical="center" wrapText="1" indent="1" readingOrder="1"/>
    </xf>
    <xf numFmtId="165" fontId="10" fillId="18" borderId="3" xfId="0" applyNumberFormat="1" applyFont="1" applyFill="1" applyBorder="1" applyAlignment="1">
      <alignment horizontal="left" vertical="center" wrapText="1" indent="1"/>
    </xf>
    <xf numFmtId="1" fontId="10" fillId="18" borderId="3" xfId="0" applyNumberFormat="1" applyFont="1" applyFill="1" applyBorder="1" applyAlignment="1">
      <alignment horizontal="left" vertical="center" wrapText="1" indent="1"/>
    </xf>
    <xf numFmtId="0" fontId="9" fillId="18" borderId="3" xfId="0" applyFont="1" applyFill="1" applyBorder="1" applyAlignment="1">
      <alignment horizontal="left" vertical="center" wrapText="1" indent="1"/>
    </xf>
    <xf numFmtId="0" fontId="16" fillId="0" borderId="1" xfId="0" applyFont="1" applyBorder="1" applyAlignment="1">
      <alignment vertical="center" wrapText="1"/>
    </xf>
    <xf numFmtId="0" fontId="16" fillId="0" borderId="0" xfId="0" applyFont="1"/>
    <xf numFmtId="164" fontId="16" fillId="2" borderId="1" xfId="0" applyNumberFormat="1" applyFont="1" applyFill="1" applyBorder="1" applyAlignment="1">
      <alignment vertical="center" wrapText="1"/>
    </xf>
    <xf numFmtId="164" fontId="16" fillId="2" borderId="4" xfId="0" applyNumberFormat="1" applyFont="1" applyFill="1" applyBorder="1" applyAlignment="1">
      <alignment vertical="center" wrapText="1"/>
    </xf>
    <xf numFmtId="14" fontId="4" fillId="0" borderId="1" xfId="0" applyNumberFormat="1" applyFont="1" applyBorder="1" applyAlignment="1">
      <alignment horizontal="left" vertical="center" wrapText="1" indent="1"/>
    </xf>
    <xf numFmtId="1" fontId="17" fillId="2" borderId="3" xfId="0" applyNumberFormat="1" applyFont="1" applyFill="1" applyBorder="1" applyAlignment="1">
      <alignment horizontal="left" vertical="center" wrapText="1" indent="1"/>
    </xf>
    <xf numFmtId="1" fontId="18" fillId="3" borderId="1" xfId="0" applyNumberFormat="1" applyFont="1" applyFill="1" applyBorder="1" applyAlignment="1">
      <alignment horizontal="left" vertical="center" wrapText="1" indent="1"/>
    </xf>
    <xf numFmtId="14" fontId="10" fillId="6" borderId="3" xfId="0" applyNumberFormat="1" applyFont="1" applyFill="1" applyBorder="1" applyAlignment="1">
      <alignment horizontal="left" vertical="center" wrapText="1" indent="1"/>
    </xf>
    <xf numFmtId="14" fontId="10" fillId="6" borderId="7" xfId="0" applyNumberFormat="1" applyFont="1" applyFill="1" applyBorder="1" applyAlignment="1">
      <alignment horizontal="left" vertical="center" wrapText="1" indent="1"/>
    </xf>
    <xf numFmtId="14" fontId="5" fillId="0" borderId="1" xfId="0" applyNumberFormat="1" applyFont="1" applyBorder="1" applyAlignment="1">
      <alignment horizontal="left" vertical="center" wrapText="1" indent="1" readingOrder="1"/>
    </xf>
    <xf numFmtId="14" fontId="10" fillId="7" borderId="3" xfId="0" applyNumberFormat="1" applyFont="1" applyFill="1" applyBorder="1" applyAlignment="1">
      <alignment horizontal="left" vertical="center" wrapText="1" indent="1" readingOrder="1"/>
    </xf>
    <xf numFmtId="14" fontId="10" fillId="7" borderId="3" xfId="0" applyNumberFormat="1" applyFont="1" applyFill="1" applyBorder="1" applyAlignment="1">
      <alignment horizontal="left" vertical="center" wrapText="1" indent="1"/>
    </xf>
    <xf numFmtId="14" fontId="5" fillId="0" borderId="2" xfId="0" applyNumberFormat="1" applyFont="1" applyBorder="1" applyAlignment="1">
      <alignment horizontal="left" vertical="center" wrapText="1" indent="1" readingOrder="1"/>
    </xf>
    <xf numFmtId="14" fontId="4" fillId="0" borderId="2" xfId="0" applyNumberFormat="1" applyFont="1" applyBorder="1" applyAlignment="1">
      <alignment horizontal="left" vertical="center" wrapText="1" indent="1"/>
    </xf>
    <xf numFmtId="14" fontId="5" fillId="0" borderId="4" xfId="0" applyNumberFormat="1" applyFont="1" applyBorder="1" applyAlignment="1">
      <alignment horizontal="left" vertical="center" wrapText="1" indent="1" readingOrder="1"/>
    </xf>
    <xf numFmtId="14" fontId="4" fillId="0" borderId="4" xfId="0" applyNumberFormat="1" applyFont="1" applyBorder="1" applyAlignment="1">
      <alignment horizontal="left" vertical="center" wrapText="1" indent="1"/>
    </xf>
    <xf numFmtId="14" fontId="10" fillId="8" borderId="3" xfId="0" applyNumberFormat="1" applyFont="1" applyFill="1" applyBorder="1" applyAlignment="1">
      <alignment horizontal="left" vertical="center" wrapText="1" indent="1" readingOrder="1"/>
    </xf>
    <xf numFmtId="14" fontId="10" fillId="8" borderId="3" xfId="0" applyNumberFormat="1" applyFont="1" applyFill="1" applyBorder="1" applyAlignment="1">
      <alignment horizontal="left" vertical="center" wrapText="1" indent="1"/>
    </xf>
    <xf numFmtId="14" fontId="10" fillId="9" borderId="3" xfId="0" applyNumberFormat="1" applyFont="1" applyFill="1" applyBorder="1" applyAlignment="1">
      <alignment horizontal="left" vertical="center" wrapText="1" indent="1" readingOrder="1"/>
    </xf>
    <xf numFmtId="14" fontId="10" fillId="9" borderId="3" xfId="0" applyNumberFormat="1" applyFont="1" applyFill="1" applyBorder="1" applyAlignment="1">
      <alignment horizontal="left" vertical="center" wrapText="1" indent="1"/>
    </xf>
    <xf numFmtId="14" fontId="10" fillId="17" borderId="3" xfId="0" applyNumberFormat="1" applyFont="1" applyFill="1" applyBorder="1" applyAlignment="1">
      <alignment horizontal="left" vertical="center" wrapText="1" indent="1" readingOrder="1"/>
    </xf>
    <xf numFmtId="14" fontId="10" fillId="17" borderId="3" xfId="0" applyNumberFormat="1" applyFont="1" applyFill="1" applyBorder="1" applyAlignment="1">
      <alignment horizontal="left" vertical="center" wrapText="1" indent="1"/>
    </xf>
    <xf numFmtId="14" fontId="10" fillId="18" borderId="3" xfId="0" applyNumberFormat="1" applyFont="1" applyFill="1" applyBorder="1" applyAlignment="1">
      <alignment horizontal="left" vertical="center" wrapText="1" indent="1" readingOrder="1"/>
    </xf>
    <xf numFmtId="14" fontId="10" fillId="18" borderId="3" xfId="0" applyNumberFormat="1" applyFont="1" applyFill="1" applyBorder="1" applyAlignment="1">
      <alignment horizontal="left" vertical="center" wrapText="1" indent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36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508443829011548"/>
          <c:y val="5.977179130624994E-2"/>
          <c:w val="0.78554936284254628"/>
          <c:h val="0.9243454857197039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Hoja1!$B$1</c:f>
              <c:strCache>
                <c:ptCount val="1"/>
                <c:pt idx="0">
                  <c:v>Fecha  inicio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Hoja1!$A$1:$A$77</c15:sqref>
                  </c15:fullRef>
                </c:ext>
              </c:extLst>
              <c:f>Hoja1!$A$2:$A$77</c:f>
              <c:strCache>
                <c:ptCount val="76"/>
                <c:pt idx="0">
                  <c:v>Inicio del Proyecto</c:v>
                </c:pt>
                <c:pt idx="1">
                  <c:v>Elaboración del Acta de Constitución</c:v>
                </c:pt>
                <c:pt idx="2">
                  <c:v>Definir objetivos del proyecto</c:v>
                </c:pt>
                <c:pt idx="3">
                  <c:v>Identificar stakeholders</c:v>
                </c:pt>
                <c:pt idx="4">
                  <c:v>Formalizar aprobación inicial</c:v>
                </c:pt>
                <c:pt idx="5">
                  <c:v>Definición del alcance y cronograma</c:v>
                </c:pt>
                <c:pt idx="6">
                  <c:v> Delimitar alcance del proyecto</c:v>
                </c:pt>
                <c:pt idx="7">
                  <c:v>Definir entregables principales</c:v>
                </c:pt>
                <c:pt idx="8">
                  <c:v>Establecer cronograma general</c:v>
                </c:pt>
                <c:pt idx="9">
                  <c:v>Planificación</c:v>
                </c:pt>
                <c:pt idx="10">
                  <c:v>Estimar recursos, costos y presupuestos</c:v>
                </c:pt>
                <c:pt idx="11">
                  <c:v>Definir recursos humanos</c:v>
                </c:pt>
                <c:pt idx="12">
                  <c:v>Estimar recursos tecnológicos</c:v>
                </c:pt>
                <c:pt idx="13">
                  <c:v>Calcular presupuesto total</c:v>
                </c:pt>
                <c:pt idx="14">
                  <c:v>Identificar riesgos</c:v>
                </c:pt>
                <c:pt idx="15">
                  <c:v>Listar riesgos técnicos</c:v>
                </c:pt>
                <c:pt idx="16">
                  <c:v>Analizar probabilidad e impacto</c:v>
                </c:pt>
                <c:pt idx="17">
                  <c:v>Definir estrategias de mitigación</c:v>
                </c:pt>
                <c:pt idx="18">
                  <c:v>Plan de comunicación y reuniones</c:v>
                </c:pt>
                <c:pt idx="19">
                  <c:v>Definir canales de comunicación</c:v>
                </c:pt>
                <c:pt idx="20">
                  <c:v>Establecer frecuencia de reuniones</c:v>
                </c:pt>
                <c:pt idx="21">
                  <c:v>Asignar responsables</c:v>
                </c:pt>
                <c:pt idx="22">
                  <c:v>Preparación y Análisis de Datos</c:v>
                </c:pt>
                <c:pt idx="23">
                  <c:v>Obtención del dataset</c:v>
                </c:pt>
                <c:pt idx="24">
                  <c:v>Buscar fuentes oficiales</c:v>
                </c:pt>
                <c:pt idx="25">
                  <c:v>Descargar datos históricos</c:v>
                </c:pt>
                <c:pt idx="26">
                  <c:v>Verificar integridad del dataset</c:v>
                </c:pt>
                <c:pt idx="27">
                  <c:v>Limpieza y depuración de datos</c:v>
                </c:pt>
                <c:pt idx="28">
                  <c:v>Eliminar valores nulos</c:v>
                </c:pt>
                <c:pt idx="29">
                  <c:v>Corregir inconsistencias</c:v>
                </c:pt>
                <c:pt idx="30">
                  <c:v>Normalizar datos</c:v>
                </c:pt>
                <c:pt idx="31">
                  <c:v>Análisis descriptivo (EDA)</c:v>
                </c:pt>
                <c:pt idx="32">
                  <c:v>Análisis estadístico</c:v>
                </c:pt>
                <c:pt idx="33">
                  <c:v>Identificación de patrones</c:v>
                </c:pt>
                <c:pt idx="34">
                  <c:v>Visualización de correlaciones</c:v>
                </c:pt>
                <c:pt idx="35">
                  <c:v>Selección y preparación de variables</c:v>
                </c:pt>
                <c:pt idx="36">
                  <c:v>Selección de variables relevantes</c:v>
                </c:pt>
                <c:pt idx="37">
                  <c:v>División train/test</c:v>
                </c:pt>
                <c:pt idx="38">
                  <c:v>Transformación de variables</c:v>
                </c:pt>
                <c:pt idx="39">
                  <c:v>Desarrollo del Modelo Predictivo</c:v>
                </c:pt>
                <c:pt idx="40">
                  <c:v>Diseño de arquitectura de red neuronal</c:v>
                </c:pt>
                <c:pt idx="41">
                  <c:v>Definir número de capas</c:v>
                </c:pt>
                <c:pt idx="42">
                  <c:v>Definir neuronas por capa</c:v>
                </c:pt>
                <c:pt idx="43">
                  <c:v>Seleccionar funciones de activación</c:v>
                </c:pt>
                <c:pt idx="44">
                  <c:v>Entrenamiento del modelo</c:v>
                </c:pt>
                <c:pt idx="45">
                  <c:v>Configurar hiperparámetros</c:v>
                </c:pt>
                <c:pt idx="46">
                  <c:v>Entrenar con datos históricos</c:v>
                </c:pt>
                <c:pt idx="47">
                  <c:v>Ajustar iteraciones</c:v>
                </c:pt>
                <c:pt idx="48">
                  <c:v>Evaluación y optimización</c:v>
                </c:pt>
                <c:pt idx="49">
                  <c:v>Calcular métricas de desempeño</c:v>
                </c:pt>
                <c:pt idx="50">
                  <c:v>Ajustar parámetros</c:v>
                </c:pt>
                <c:pt idx="51">
                  <c:v>Validar modelo final</c:v>
                </c:pt>
                <c:pt idx="52">
                  <c:v>Desarrollo de la Aplicación Web</c:v>
                </c:pt>
                <c:pt idx="53">
                  <c:v>Diseño de interfaz (Mockups)</c:v>
                </c:pt>
                <c:pt idx="54">
                  <c:v>Diseño visual</c:v>
                </c:pt>
                <c:pt idx="55">
                  <c:v>Definición de experiencia de usuario</c:v>
                </c:pt>
                <c:pt idx="56">
                  <c:v>Validación de prototipo</c:v>
                </c:pt>
                <c:pt idx="57">
                  <c:v>Desarrollo Frontend</c:v>
                </c:pt>
                <c:pt idx="58">
                  <c:v>Implementación interfaz responsiva</c:v>
                </c:pt>
                <c:pt idx="59">
                  <c:v>Conexión con API</c:v>
                </c:pt>
                <c:pt idx="60">
                  <c:v>Pruebas visuales</c:v>
                </c:pt>
                <c:pt idx="61">
                  <c:v>Desarrollo Backend e integración del modelo</c:v>
                </c:pt>
                <c:pt idx="62">
                  <c:v>Despliegue de la pagina</c:v>
                </c:pt>
                <c:pt idx="63">
                  <c:v>Integración del modelo predictivo</c:v>
                </c:pt>
                <c:pt idx="64">
                  <c:v>Pruebas de funcionamiento</c:v>
                </c:pt>
                <c:pt idx="65">
                  <c:v>Cierre del Proyecto</c:v>
                </c:pt>
                <c:pt idx="66">
                  <c:v>Documentación técnica y manual de usuario</c:v>
                </c:pt>
                <c:pt idx="67">
                  <c:v>Documentación del modelo</c:v>
                </c:pt>
                <c:pt idx="68">
                  <c:v>Manual de usuario</c:v>
                </c:pt>
                <c:pt idx="69">
                  <c:v>Informe final del proyecto</c:v>
                </c:pt>
                <c:pt idx="70">
                  <c:v>Redacción de resultados</c:v>
                </c:pt>
                <c:pt idx="71">
                  <c:v>Lecciones aprendidas</c:v>
                </c:pt>
                <c:pt idx="72">
                  <c:v>Conclusiones</c:v>
                </c:pt>
                <c:pt idx="73">
                  <c:v>Cierre formal del proyecto</c:v>
                </c:pt>
                <c:pt idx="74">
                  <c:v>Acta de cierre</c:v>
                </c:pt>
                <c:pt idx="75">
                  <c:v>Aprobación final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Hoja1!$B$2:$B$77</c15:sqref>
                  </c15:fullRef>
                </c:ext>
              </c:extLst>
              <c:f>Hoja1!$B$3:$B$77</c:f>
              <c:numCache>
                <c:formatCode>m/d/yyyy</c:formatCode>
                <c:ptCount val="75"/>
                <c:pt idx="0">
                  <c:v>46060</c:v>
                </c:pt>
                <c:pt idx="1">
                  <c:v>46060</c:v>
                </c:pt>
                <c:pt idx="2">
                  <c:v>46062</c:v>
                </c:pt>
                <c:pt idx="3">
                  <c:v>46065</c:v>
                </c:pt>
                <c:pt idx="4">
                  <c:v>46070</c:v>
                </c:pt>
                <c:pt idx="5">
                  <c:v>46070</c:v>
                </c:pt>
                <c:pt idx="6">
                  <c:v>46074</c:v>
                </c:pt>
                <c:pt idx="7">
                  <c:v>46077</c:v>
                </c:pt>
                <c:pt idx="8">
                  <c:v>46081</c:v>
                </c:pt>
                <c:pt idx="9">
                  <c:v>46081</c:v>
                </c:pt>
                <c:pt idx="10">
                  <c:v>46081</c:v>
                </c:pt>
                <c:pt idx="11">
                  <c:v>46083</c:v>
                </c:pt>
                <c:pt idx="12">
                  <c:v>46085</c:v>
                </c:pt>
                <c:pt idx="13">
                  <c:v>46088</c:v>
                </c:pt>
                <c:pt idx="14">
                  <c:v>46088</c:v>
                </c:pt>
                <c:pt idx="15">
                  <c:v>46090</c:v>
                </c:pt>
                <c:pt idx="16">
                  <c:v>46093</c:v>
                </c:pt>
                <c:pt idx="17">
                  <c:v>46095</c:v>
                </c:pt>
                <c:pt idx="18">
                  <c:v>46095</c:v>
                </c:pt>
                <c:pt idx="19">
                  <c:v>46097</c:v>
                </c:pt>
                <c:pt idx="20">
                  <c:v>46099</c:v>
                </c:pt>
                <c:pt idx="21">
                  <c:v>46102</c:v>
                </c:pt>
                <c:pt idx="22">
                  <c:v>46102</c:v>
                </c:pt>
                <c:pt idx="23">
                  <c:v>46102</c:v>
                </c:pt>
                <c:pt idx="24">
                  <c:v>46104</c:v>
                </c:pt>
                <c:pt idx="25">
                  <c:v>46106</c:v>
                </c:pt>
                <c:pt idx="26">
                  <c:v>46107</c:v>
                </c:pt>
                <c:pt idx="27">
                  <c:v>46107</c:v>
                </c:pt>
                <c:pt idx="28">
                  <c:v>46109</c:v>
                </c:pt>
                <c:pt idx="29">
                  <c:v>46111</c:v>
                </c:pt>
                <c:pt idx="30">
                  <c:v>46113</c:v>
                </c:pt>
                <c:pt idx="31">
                  <c:v>46113</c:v>
                </c:pt>
                <c:pt idx="32">
                  <c:v>46115</c:v>
                </c:pt>
                <c:pt idx="33">
                  <c:v>46117</c:v>
                </c:pt>
                <c:pt idx="34">
                  <c:v>46118</c:v>
                </c:pt>
                <c:pt idx="35">
                  <c:v>46118</c:v>
                </c:pt>
                <c:pt idx="36">
                  <c:v>46119</c:v>
                </c:pt>
                <c:pt idx="37">
                  <c:v>46121</c:v>
                </c:pt>
                <c:pt idx="38">
                  <c:v>46123</c:v>
                </c:pt>
                <c:pt idx="39">
                  <c:v>46123</c:v>
                </c:pt>
                <c:pt idx="40">
                  <c:v>46123</c:v>
                </c:pt>
                <c:pt idx="41">
                  <c:v>46124</c:v>
                </c:pt>
                <c:pt idx="42">
                  <c:v>46125</c:v>
                </c:pt>
                <c:pt idx="43">
                  <c:v>46127</c:v>
                </c:pt>
                <c:pt idx="44">
                  <c:v>46127</c:v>
                </c:pt>
                <c:pt idx="45">
                  <c:v>46129</c:v>
                </c:pt>
                <c:pt idx="46">
                  <c:v>46131</c:v>
                </c:pt>
                <c:pt idx="47">
                  <c:v>46132</c:v>
                </c:pt>
                <c:pt idx="48">
                  <c:v>46132</c:v>
                </c:pt>
                <c:pt idx="49">
                  <c:v>46134</c:v>
                </c:pt>
                <c:pt idx="50">
                  <c:v>46136</c:v>
                </c:pt>
                <c:pt idx="51">
                  <c:v>46137</c:v>
                </c:pt>
                <c:pt idx="52">
                  <c:v>46137</c:v>
                </c:pt>
                <c:pt idx="53">
                  <c:v>46137</c:v>
                </c:pt>
                <c:pt idx="54">
                  <c:v>46138</c:v>
                </c:pt>
                <c:pt idx="55">
                  <c:v>46139</c:v>
                </c:pt>
                <c:pt idx="56">
                  <c:v>46140</c:v>
                </c:pt>
                <c:pt idx="57">
                  <c:v>46140</c:v>
                </c:pt>
                <c:pt idx="58">
                  <c:v>46141</c:v>
                </c:pt>
                <c:pt idx="59">
                  <c:v>46142</c:v>
                </c:pt>
                <c:pt idx="60">
                  <c:v>46143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46146</c:v>
                </c:pt>
                <c:pt idx="66">
                  <c:v>46146</c:v>
                </c:pt>
                <c:pt idx="67">
                  <c:v>46147</c:v>
                </c:pt>
                <c:pt idx="68">
                  <c:v>46148</c:v>
                </c:pt>
                <c:pt idx="69">
                  <c:v>46148</c:v>
                </c:pt>
                <c:pt idx="70">
                  <c:v>46149</c:v>
                </c:pt>
                <c:pt idx="71">
                  <c:v>46149</c:v>
                </c:pt>
                <c:pt idx="72">
                  <c:v>46150</c:v>
                </c:pt>
                <c:pt idx="73">
                  <c:v>46150</c:v>
                </c:pt>
                <c:pt idx="74">
                  <c:v>46150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0-4685-9A22-71FEFCA93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3764447"/>
        <c:axId val="1119768303"/>
      </c:barChart>
      <c:barChart>
        <c:barDir val="bar"/>
        <c:grouping val="clustered"/>
        <c:varyColors val="0"/>
        <c:ser>
          <c:idx val="0"/>
          <c:order val="1"/>
          <c:tx>
            <c:strRef>
              <c:f>Hoja1!$D$1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Hoja1!$A$1:$A$77</c15:sqref>
                  </c15:fullRef>
                </c:ext>
              </c:extLst>
              <c:f>Hoja1!$A$2:$A$77</c:f>
              <c:strCache>
                <c:ptCount val="76"/>
                <c:pt idx="0">
                  <c:v>Inicio del Proyecto</c:v>
                </c:pt>
                <c:pt idx="1">
                  <c:v>Elaboración del Acta de Constitución</c:v>
                </c:pt>
                <c:pt idx="2">
                  <c:v>Definir objetivos del proyecto</c:v>
                </c:pt>
                <c:pt idx="3">
                  <c:v>Identificar stakeholders</c:v>
                </c:pt>
                <c:pt idx="4">
                  <c:v>Formalizar aprobación inicial</c:v>
                </c:pt>
                <c:pt idx="5">
                  <c:v>Definición del alcance y cronograma</c:v>
                </c:pt>
                <c:pt idx="6">
                  <c:v> Delimitar alcance del proyecto</c:v>
                </c:pt>
                <c:pt idx="7">
                  <c:v>Definir entregables principales</c:v>
                </c:pt>
                <c:pt idx="8">
                  <c:v>Establecer cronograma general</c:v>
                </c:pt>
                <c:pt idx="9">
                  <c:v>Planificación</c:v>
                </c:pt>
                <c:pt idx="10">
                  <c:v>Estimar recursos, costos y presupuestos</c:v>
                </c:pt>
                <c:pt idx="11">
                  <c:v>Definir recursos humanos</c:v>
                </c:pt>
                <c:pt idx="12">
                  <c:v>Estimar recursos tecnológicos</c:v>
                </c:pt>
                <c:pt idx="13">
                  <c:v>Calcular presupuesto total</c:v>
                </c:pt>
                <c:pt idx="14">
                  <c:v>Identificar riesgos</c:v>
                </c:pt>
                <c:pt idx="15">
                  <c:v>Listar riesgos técnicos</c:v>
                </c:pt>
                <c:pt idx="16">
                  <c:v>Analizar probabilidad e impacto</c:v>
                </c:pt>
                <c:pt idx="17">
                  <c:v>Definir estrategias de mitigación</c:v>
                </c:pt>
                <c:pt idx="18">
                  <c:v>Plan de comunicación y reuniones</c:v>
                </c:pt>
                <c:pt idx="19">
                  <c:v>Definir canales de comunicación</c:v>
                </c:pt>
                <c:pt idx="20">
                  <c:v>Establecer frecuencia de reuniones</c:v>
                </c:pt>
                <c:pt idx="21">
                  <c:v>Asignar responsables</c:v>
                </c:pt>
                <c:pt idx="22">
                  <c:v>Preparación y Análisis de Datos</c:v>
                </c:pt>
                <c:pt idx="23">
                  <c:v>Obtención del dataset</c:v>
                </c:pt>
                <c:pt idx="24">
                  <c:v>Buscar fuentes oficiales</c:v>
                </c:pt>
                <c:pt idx="25">
                  <c:v>Descargar datos históricos</c:v>
                </c:pt>
                <c:pt idx="26">
                  <c:v>Verificar integridad del dataset</c:v>
                </c:pt>
                <c:pt idx="27">
                  <c:v>Limpieza y depuración de datos</c:v>
                </c:pt>
                <c:pt idx="28">
                  <c:v>Eliminar valores nulos</c:v>
                </c:pt>
                <c:pt idx="29">
                  <c:v>Corregir inconsistencias</c:v>
                </c:pt>
                <c:pt idx="30">
                  <c:v>Normalizar datos</c:v>
                </c:pt>
                <c:pt idx="31">
                  <c:v>Análisis descriptivo (EDA)</c:v>
                </c:pt>
                <c:pt idx="32">
                  <c:v>Análisis estadístico</c:v>
                </c:pt>
                <c:pt idx="33">
                  <c:v>Identificación de patrones</c:v>
                </c:pt>
                <c:pt idx="34">
                  <c:v>Visualización de correlaciones</c:v>
                </c:pt>
                <c:pt idx="35">
                  <c:v>Selección y preparación de variables</c:v>
                </c:pt>
                <c:pt idx="36">
                  <c:v>Selección de variables relevantes</c:v>
                </c:pt>
                <c:pt idx="37">
                  <c:v>División train/test</c:v>
                </c:pt>
                <c:pt idx="38">
                  <c:v>Transformación de variables</c:v>
                </c:pt>
                <c:pt idx="39">
                  <c:v>Desarrollo del Modelo Predictivo</c:v>
                </c:pt>
                <c:pt idx="40">
                  <c:v>Diseño de arquitectura de red neuronal</c:v>
                </c:pt>
                <c:pt idx="41">
                  <c:v>Definir número de capas</c:v>
                </c:pt>
                <c:pt idx="42">
                  <c:v>Definir neuronas por capa</c:v>
                </c:pt>
                <c:pt idx="43">
                  <c:v>Seleccionar funciones de activación</c:v>
                </c:pt>
                <c:pt idx="44">
                  <c:v>Entrenamiento del modelo</c:v>
                </c:pt>
                <c:pt idx="45">
                  <c:v>Configurar hiperparámetros</c:v>
                </c:pt>
                <c:pt idx="46">
                  <c:v>Entrenar con datos históricos</c:v>
                </c:pt>
                <c:pt idx="47">
                  <c:v>Ajustar iteraciones</c:v>
                </c:pt>
                <c:pt idx="48">
                  <c:v>Evaluación y optimización</c:v>
                </c:pt>
                <c:pt idx="49">
                  <c:v>Calcular métricas de desempeño</c:v>
                </c:pt>
                <c:pt idx="50">
                  <c:v>Ajustar parámetros</c:v>
                </c:pt>
                <c:pt idx="51">
                  <c:v>Validar modelo final</c:v>
                </c:pt>
                <c:pt idx="52">
                  <c:v>Desarrollo de la Aplicación Web</c:v>
                </c:pt>
                <c:pt idx="53">
                  <c:v>Diseño de interfaz (Mockups)</c:v>
                </c:pt>
                <c:pt idx="54">
                  <c:v>Diseño visual</c:v>
                </c:pt>
                <c:pt idx="55">
                  <c:v>Definición de experiencia de usuario</c:v>
                </c:pt>
                <c:pt idx="56">
                  <c:v>Validación de prototipo</c:v>
                </c:pt>
                <c:pt idx="57">
                  <c:v>Desarrollo Frontend</c:v>
                </c:pt>
                <c:pt idx="58">
                  <c:v>Implementación interfaz responsiva</c:v>
                </c:pt>
                <c:pt idx="59">
                  <c:v>Conexión con API</c:v>
                </c:pt>
                <c:pt idx="60">
                  <c:v>Pruebas visuales</c:v>
                </c:pt>
                <c:pt idx="61">
                  <c:v>Desarrollo Backend e integración del modelo</c:v>
                </c:pt>
                <c:pt idx="62">
                  <c:v>Despliegue de la pagina</c:v>
                </c:pt>
                <c:pt idx="63">
                  <c:v>Integración del modelo predictivo</c:v>
                </c:pt>
                <c:pt idx="64">
                  <c:v>Pruebas de funcionamiento</c:v>
                </c:pt>
                <c:pt idx="65">
                  <c:v>Cierre del Proyecto</c:v>
                </c:pt>
                <c:pt idx="66">
                  <c:v>Documentación técnica y manual de usuario</c:v>
                </c:pt>
                <c:pt idx="67">
                  <c:v>Documentación del modelo</c:v>
                </c:pt>
                <c:pt idx="68">
                  <c:v>Manual de usuario</c:v>
                </c:pt>
                <c:pt idx="69">
                  <c:v>Informe final del proyecto</c:v>
                </c:pt>
                <c:pt idx="70">
                  <c:v>Redacción de resultados</c:v>
                </c:pt>
                <c:pt idx="71">
                  <c:v>Lecciones aprendidas</c:v>
                </c:pt>
                <c:pt idx="72">
                  <c:v>Conclusiones</c:v>
                </c:pt>
                <c:pt idx="73">
                  <c:v>Cierre formal del proyecto</c:v>
                </c:pt>
                <c:pt idx="74">
                  <c:v>Acta de cierre</c:v>
                </c:pt>
                <c:pt idx="75">
                  <c:v>Aprobación final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Hoja1!$D$2:$D$77</c15:sqref>
                  </c15:fullRef>
                </c:ext>
              </c:extLst>
              <c:f>Hoja1!$D$3:$D$77</c:f>
              <c:numCache>
                <c:formatCode>0</c:formatCode>
                <c:ptCount val="75"/>
                <c:pt idx="0">
                  <c:v>10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21</c:v>
                </c:pt>
                <c:pt idx="9">
                  <c:v>7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7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7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21</c:v>
                </c:pt>
                <c:pt idx="22">
                  <c:v>5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6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5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14</c:v>
                </c:pt>
                <c:pt idx="39">
                  <c:v>4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5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5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9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5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A0-4685-9A22-71FEFCA93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9242144"/>
        <c:axId val="669254144"/>
      </c:barChart>
      <c:catAx>
        <c:axId val="8837644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9768303"/>
        <c:crosses val="autoZero"/>
        <c:auto val="1"/>
        <c:lblAlgn val="ctr"/>
        <c:lblOffset val="100"/>
        <c:noMultiLvlLbl val="0"/>
      </c:catAx>
      <c:valAx>
        <c:axId val="1119768303"/>
        <c:scaling>
          <c:orientation val="minMax"/>
          <c:min val="460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3764447"/>
        <c:crosses val="autoZero"/>
        <c:crossBetween val="between"/>
        <c:majorUnit val="10"/>
      </c:valAx>
      <c:valAx>
        <c:axId val="6692541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9242144"/>
        <c:crosses val="autoZero"/>
        <c:crossBetween val="between"/>
        <c:majorUnit val="1"/>
      </c:valAx>
      <c:catAx>
        <c:axId val="669242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69254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508443829011548"/>
          <c:y val="5.977179130624994E-2"/>
          <c:w val="0.78554936284254628"/>
          <c:h val="0.9243454857197039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Hoja1!$B$1</c:f>
              <c:strCache>
                <c:ptCount val="1"/>
                <c:pt idx="0">
                  <c:v>Fecha  inicio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Hoja1!$A$1:$A$77</c15:sqref>
                  </c15:fullRef>
                </c:ext>
              </c:extLst>
              <c:f>Hoja1!$A$2:$A$77</c:f>
              <c:strCache>
                <c:ptCount val="76"/>
                <c:pt idx="0">
                  <c:v>Inicio del Proyecto</c:v>
                </c:pt>
                <c:pt idx="1">
                  <c:v>Elaboración del Acta de Constitución</c:v>
                </c:pt>
                <c:pt idx="2">
                  <c:v>Definir objetivos del proyecto</c:v>
                </c:pt>
                <c:pt idx="3">
                  <c:v>Identificar stakeholders</c:v>
                </c:pt>
                <c:pt idx="4">
                  <c:v>Formalizar aprobación inicial</c:v>
                </c:pt>
                <c:pt idx="5">
                  <c:v>Definición del alcance y cronograma</c:v>
                </c:pt>
                <c:pt idx="6">
                  <c:v> Delimitar alcance del proyecto</c:v>
                </c:pt>
                <c:pt idx="7">
                  <c:v>Definir entregables principales</c:v>
                </c:pt>
                <c:pt idx="8">
                  <c:v>Establecer cronograma general</c:v>
                </c:pt>
                <c:pt idx="9">
                  <c:v>Planificación</c:v>
                </c:pt>
                <c:pt idx="10">
                  <c:v>Estimar recursos, costos y presupuestos</c:v>
                </c:pt>
                <c:pt idx="11">
                  <c:v>Definir recursos humanos</c:v>
                </c:pt>
                <c:pt idx="12">
                  <c:v>Estimar recursos tecnológicos</c:v>
                </c:pt>
                <c:pt idx="13">
                  <c:v>Calcular presupuesto total</c:v>
                </c:pt>
                <c:pt idx="14">
                  <c:v>Identificar riesgos</c:v>
                </c:pt>
                <c:pt idx="15">
                  <c:v>Listar riesgos técnicos</c:v>
                </c:pt>
                <c:pt idx="16">
                  <c:v>Analizar probabilidad e impacto</c:v>
                </c:pt>
                <c:pt idx="17">
                  <c:v>Definir estrategias de mitigación</c:v>
                </c:pt>
                <c:pt idx="18">
                  <c:v>Plan de comunicación y reuniones</c:v>
                </c:pt>
                <c:pt idx="19">
                  <c:v>Definir canales de comunicación</c:v>
                </c:pt>
                <c:pt idx="20">
                  <c:v>Establecer frecuencia de reuniones</c:v>
                </c:pt>
                <c:pt idx="21">
                  <c:v>Asignar responsables</c:v>
                </c:pt>
                <c:pt idx="22">
                  <c:v>Preparación y Análisis de Datos</c:v>
                </c:pt>
                <c:pt idx="23">
                  <c:v>Obtención del dataset</c:v>
                </c:pt>
                <c:pt idx="24">
                  <c:v>Buscar fuentes oficiales</c:v>
                </c:pt>
                <c:pt idx="25">
                  <c:v>Descargar datos históricos</c:v>
                </c:pt>
                <c:pt idx="26">
                  <c:v>Verificar integridad del dataset</c:v>
                </c:pt>
                <c:pt idx="27">
                  <c:v>Limpieza y depuración de datos</c:v>
                </c:pt>
                <c:pt idx="28">
                  <c:v>Eliminar valores nulos</c:v>
                </c:pt>
                <c:pt idx="29">
                  <c:v>Corregir inconsistencias</c:v>
                </c:pt>
                <c:pt idx="30">
                  <c:v>Normalizar datos</c:v>
                </c:pt>
                <c:pt idx="31">
                  <c:v>Análisis descriptivo (EDA)</c:v>
                </c:pt>
                <c:pt idx="32">
                  <c:v>Análisis estadístico</c:v>
                </c:pt>
                <c:pt idx="33">
                  <c:v>Identificación de patrones</c:v>
                </c:pt>
                <c:pt idx="34">
                  <c:v>Visualización de correlaciones</c:v>
                </c:pt>
                <c:pt idx="35">
                  <c:v>Selección y preparación de variables</c:v>
                </c:pt>
                <c:pt idx="36">
                  <c:v>Selección de variables relevantes</c:v>
                </c:pt>
                <c:pt idx="37">
                  <c:v>División train/test</c:v>
                </c:pt>
                <c:pt idx="38">
                  <c:v>Transformación de variables</c:v>
                </c:pt>
                <c:pt idx="39">
                  <c:v>Desarrollo del Modelo Predictivo</c:v>
                </c:pt>
                <c:pt idx="40">
                  <c:v>Diseño de arquitectura de red neuronal</c:v>
                </c:pt>
                <c:pt idx="41">
                  <c:v>Definir número de capas</c:v>
                </c:pt>
                <c:pt idx="42">
                  <c:v>Definir neuronas por capa</c:v>
                </c:pt>
                <c:pt idx="43">
                  <c:v>Seleccionar funciones de activación</c:v>
                </c:pt>
                <c:pt idx="44">
                  <c:v>Entrenamiento del modelo</c:v>
                </c:pt>
                <c:pt idx="45">
                  <c:v>Configurar hiperparámetros</c:v>
                </c:pt>
                <c:pt idx="46">
                  <c:v>Entrenar con datos históricos</c:v>
                </c:pt>
                <c:pt idx="47">
                  <c:v>Ajustar iteraciones</c:v>
                </c:pt>
                <c:pt idx="48">
                  <c:v>Evaluación y optimización</c:v>
                </c:pt>
                <c:pt idx="49">
                  <c:v>Calcular métricas de desempeño</c:v>
                </c:pt>
                <c:pt idx="50">
                  <c:v>Ajustar parámetros</c:v>
                </c:pt>
                <c:pt idx="51">
                  <c:v>Validar modelo final</c:v>
                </c:pt>
                <c:pt idx="52">
                  <c:v>Desarrollo de la Aplicación Web</c:v>
                </c:pt>
                <c:pt idx="53">
                  <c:v>Diseño de interfaz (Mockups)</c:v>
                </c:pt>
                <c:pt idx="54">
                  <c:v>Diseño visual</c:v>
                </c:pt>
                <c:pt idx="55">
                  <c:v>Definición de experiencia de usuario</c:v>
                </c:pt>
                <c:pt idx="56">
                  <c:v>Validación de prototipo</c:v>
                </c:pt>
                <c:pt idx="57">
                  <c:v>Desarrollo Frontend</c:v>
                </c:pt>
                <c:pt idx="58">
                  <c:v>Implementación interfaz responsiva</c:v>
                </c:pt>
                <c:pt idx="59">
                  <c:v>Conexión con API</c:v>
                </c:pt>
                <c:pt idx="60">
                  <c:v>Pruebas visuales</c:v>
                </c:pt>
                <c:pt idx="61">
                  <c:v>Desarrollo Backend e integración del modelo</c:v>
                </c:pt>
                <c:pt idx="62">
                  <c:v>Despliegue de la pagina</c:v>
                </c:pt>
                <c:pt idx="63">
                  <c:v>Integración del modelo predictivo</c:v>
                </c:pt>
                <c:pt idx="64">
                  <c:v>Pruebas de funcionamiento</c:v>
                </c:pt>
                <c:pt idx="65">
                  <c:v>Cierre del Proyecto</c:v>
                </c:pt>
                <c:pt idx="66">
                  <c:v>Documentación técnica y manual de usuario</c:v>
                </c:pt>
                <c:pt idx="67">
                  <c:v>Documentación del modelo</c:v>
                </c:pt>
                <c:pt idx="68">
                  <c:v>Manual de usuario</c:v>
                </c:pt>
                <c:pt idx="69">
                  <c:v>Informe final del proyecto</c:v>
                </c:pt>
                <c:pt idx="70">
                  <c:v>Redacción de resultados</c:v>
                </c:pt>
                <c:pt idx="71">
                  <c:v>Lecciones aprendidas</c:v>
                </c:pt>
                <c:pt idx="72">
                  <c:v>Conclusiones</c:v>
                </c:pt>
                <c:pt idx="73">
                  <c:v>Cierre formal del proyecto</c:v>
                </c:pt>
                <c:pt idx="74">
                  <c:v>Acta de cierre</c:v>
                </c:pt>
                <c:pt idx="75">
                  <c:v>Aprobación final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Hoja1!$B$2:$B$77</c15:sqref>
                  </c15:fullRef>
                </c:ext>
              </c:extLst>
              <c:f>Hoja1!$B$3:$B$77</c:f>
              <c:numCache>
                <c:formatCode>m/d/yyyy</c:formatCode>
                <c:ptCount val="75"/>
                <c:pt idx="0">
                  <c:v>46060</c:v>
                </c:pt>
                <c:pt idx="1">
                  <c:v>46060</c:v>
                </c:pt>
                <c:pt idx="2">
                  <c:v>46062</c:v>
                </c:pt>
                <c:pt idx="3">
                  <c:v>46065</c:v>
                </c:pt>
                <c:pt idx="4">
                  <c:v>46070</c:v>
                </c:pt>
                <c:pt idx="5">
                  <c:v>46070</c:v>
                </c:pt>
                <c:pt idx="6">
                  <c:v>46074</c:v>
                </c:pt>
                <c:pt idx="7">
                  <c:v>46077</c:v>
                </c:pt>
                <c:pt idx="8">
                  <c:v>46081</c:v>
                </c:pt>
                <c:pt idx="9">
                  <c:v>46081</c:v>
                </c:pt>
                <c:pt idx="10">
                  <c:v>46081</c:v>
                </c:pt>
                <c:pt idx="11">
                  <c:v>46083</c:v>
                </c:pt>
                <c:pt idx="12">
                  <c:v>46085</c:v>
                </c:pt>
                <c:pt idx="13">
                  <c:v>46088</c:v>
                </c:pt>
                <c:pt idx="14">
                  <c:v>46088</c:v>
                </c:pt>
                <c:pt idx="15">
                  <c:v>46090</c:v>
                </c:pt>
                <c:pt idx="16">
                  <c:v>46093</c:v>
                </c:pt>
                <c:pt idx="17">
                  <c:v>46095</c:v>
                </c:pt>
                <c:pt idx="18">
                  <c:v>46095</c:v>
                </c:pt>
                <c:pt idx="19">
                  <c:v>46097</c:v>
                </c:pt>
                <c:pt idx="20">
                  <c:v>46099</c:v>
                </c:pt>
                <c:pt idx="21">
                  <c:v>46102</c:v>
                </c:pt>
                <c:pt idx="22">
                  <c:v>46102</c:v>
                </c:pt>
                <c:pt idx="23">
                  <c:v>46102</c:v>
                </c:pt>
                <c:pt idx="24">
                  <c:v>46104</c:v>
                </c:pt>
                <c:pt idx="25">
                  <c:v>46106</c:v>
                </c:pt>
                <c:pt idx="26">
                  <c:v>46107</c:v>
                </c:pt>
                <c:pt idx="27">
                  <c:v>46107</c:v>
                </c:pt>
                <c:pt idx="28">
                  <c:v>46109</c:v>
                </c:pt>
                <c:pt idx="29">
                  <c:v>46111</c:v>
                </c:pt>
                <c:pt idx="30">
                  <c:v>46113</c:v>
                </c:pt>
                <c:pt idx="31">
                  <c:v>46113</c:v>
                </c:pt>
                <c:pt idx="32">
                  <c:v>46115</c:v>
                </c:pt>
                <c:pt idx="33">
                  <c:v>46117</c:v>
                </c:pt>
                <c:pt idx="34">
                  <c:v>46118</c:v>
                </c:pt>
                <c:pt idx="35">
                  <c:v>46118</c:v>
                </c:pt>
                <c:pt idx="36">
                  <c:v>46119</c:v>
                </c:pt>
                <c:pt idx="37">
                  <c:v>46121</c:v>
                </c:pt>
                <c:pt idx="38">
                  <c:v>46123</c:v>
                </c:pt>
                <c:pt idx="39">
                  <c:v>46123</c:v>
                </c:pt>
                <c:pt idx="40">
                  <c:v>46123</c:v>
                </c:pt>
                <c:pt idx="41">
                  <c:v>46124</c:v>
                </c:pt>
                <c:pt idx="42">
                  <c:v>46125</c:v>
                </c:pt>
                <c:pt idx="43">
                  <c:v>46127</c:v>
                </c:pt>
                <c:pt idx="44">
                  <c:v>46127</c:v>
                </c:pt>
                <c:pt idx="45">
                  <c:v>46129</c:v>
                </c:pt>
                <c:pt idx="46">
                  <c:v>46131</c:v>
                </c:pt>
                <c:pt idx="47">
                  <c:v>46132</c:v>
                </c:pt>
                <c:pt idx="48">
                  <c:v>46132</c:v>
                </c:pt>
                <c:pt idx="49">
                  <c:v>46134</c:v>
                </c:pt>
                <c:pt idx="50">
                  <c:v>46136</c:v>
                </c:pt>
                <c:pt idx="51">
                  <c:v>46137</c:v>
                </c:pt>
                <c:pt idx="52">
                  <c:v>46137</c:v>
                </c:pt>
                <c:pt idx="53">
                  <c:v>46137</c:v>
                </c:pt>
                <c:pt idx="54">
                  <c:v>46138</c:v>
                </c:pt>
                <c:pt idx="55">
                  <c:v>46139</c:v>
                </c:pt>
                <c:pt idx="56">
                  <c:v>46140</c:v>
                </c:pt>
                <c:pt idx="57">
                  <c:v>46140</c:v>
                </c:pt>
                <c:pt idx="58">
                  <c:v>46141</c:v>
                </c:pt>
                <c:pt idx="59">
                  <c:v>46142</c:v>
                </c:pt>
                <c:pt idx="60">
                  <c:v>46143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46146</c:v>
                </c:pt>
                <c:pt idx="66">
                  <c:v>46146</c:v>
                </c:pt>
                <c:pt idx="67">
                  <c:v>46147</c:v>
                </c:pt>
                <c:pt idx="68">
                  <c:v>46148</c:v>
                </c:pt>
                <c:pt idx="69">
                  <c:v>46148</c:v>
                </c:pt>
                <c:pt idx="70">
                  <c:v>46149</c:v>
                </c:pt>
                <c:pt idx="71">
                  <c:v>46149</c:v>
                </c:pt>
                <c:pt idx="72">
                  <c:v>46150</c:v>
                </c:pt>
                <c:pt idx="73">
                  <c:v>46150</c:v>
                </c:pt>
                <c:pt idx="74">
                  <c:v>46150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A9-4C77-A006-5E8650079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3764447"/>
        <c:axId val="1119768303"/>
      </c:barChart>
      <c:barChart>
        <c:barDir val="bar"/>
        <c:grouping val="clustered"/>
        <c:varyColors val="0"/>
        <c:ser>
          <c:idx val="0"/>
          <c:order val="1"/>
          <c:tx>
            <c:strRef>
              <c:f>Hoja1!$D$1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Hoja1!$A$1:$A$77</c15:sqref>
                  </c15:fullRef>
                </c:ext>
              </c:extLst>
              <c:f>Hoja1!$A$2:$A$77</c:f>
              <c:strCache>
                <c:ptCount val="76"/>
                <c:pt idx="0">
                  <c:v>Inicio del Proyecto</c:v>
                </c:pt>
                <c:pt idx="1">
                  <c:v>Elaboración del Acta de Constitución</c:v>
                </c:pt>
                <c:pt idx="2">
                  <c:v>Definir objetivos del proyecto</c:v>
                </c:pt>
                <c:pt idx="3">
                  <c:v>Identificar stakeholders</c:v>
                </c:pt>
                <c:pt idx="4">
                  <c:v>Formalizar aprobación inicial</c:v>
                </c:pt>
                <c:pt idx="5">
                  <c:v>Definición del alcance y cronograma</c:v>
                </c:pt>
                <c:pt idx="6">
                  <c:v> Delimitar alcance del proyecto</c:v>
                </c:pt>
                <c:pt idx="7">
                  <c:v>Definir entregables principales</c:v>
                </c:pt>
                <c:pt idx="8">
                  <c:v>Establecer cronograma general</c:v>
                </c:pt>
                <c:pt idx="9">
                  <c:v>Planificación</c:v>
                </c:pt>
                <c:pt idx="10">
                  <c:v>Estimar recursos, costos y presupuestos</c:v>
                </c:pt>
                <c:pt idx="11">
                  <c:v>Definir recursos humanos</c:v>
                </c:pt>
                <c:pt idx="12">
                  <c:v>Estimar recursos tecnológicos</c:v>
                </c:pt>
                <c:pt idx="13">
                  <c:v>Calcular presupuesto total</c:v>
                </c:pt>
                <c:pt idx="14">
                  <c:v>Identificar riesgos</c:v>
                </c:pt>
                <c:pt idx="15">
                  <c:v>Listar riesgos técnicos</c:v>
                </c:pt>
                <c:pt idx="16">
                  <c:v>Analizar probabilidad e impacto</c:v>
                </c:pt>
                <c:pt idx="17">
                  <c:v>Definir estrategias de mitigación</c:v>
                </c:pt>
                <c:pt idx="18">
                  <c:v>Plan de comunicación y reuniones</c:v>
                </c:pt>
                <c:pt idx="19">
                  <c:v>Definir canales de comunicación</c:v>
                </c:pt>
                <c:pt idx="20">
                  <c:v>Establecer frecuencia de reuniones</c:v>
                </c:pt>
                <c:pt idx="21">
                  <c:v>Asignar responsables</c:v>
                </c:pt>
                <c:pt idx="22">
                  <c:v>Preparación y Análisis de Datos</c:v>
                </c:pt>
                <c:pt idx="23">
                  <c:v>Obtención del dataset</c:v>
                </c:pt>
                <c:pt idx="24">
                  <c:v>Buscar fuentes oficiales</c:v>
                </c:pt>
                <c:pt idx="25">
                  <c:v>Descargar datos históricos</c:v>
                </c:pt>
                <c:pt idx="26">
                  <c:v>Verificar integridad del dataset</c:v>
                </c:pt>
                <c:pt idx="27">
                  <c:v>Limpieza y depuración de datos</c:v>
                </c:pt>
                <c:pt idx="28">
                  <c:v>Eliminar valores nulos</c:v>
                </c:pt>
                <c:pt idx="29">
                  <c:v>Corregir inconsistencias</c:v>
                </c:pt>
                <c:pt idx="30">
                  <c:v>Normalizar datos</c:v>
                </c:pt>
                <c:pt idx="31">
                  <c:v>Análisis descriptivo (EDA)</c:v>
                </c:pt>
                <c:pt idx="32">
                  <c:v>Análisis estadístico</c:v>
                </c:pt>
                <c:pt idx="33">
                  <c:v>Identificación de patrones</c:v>
                </c:pt>
                <c:pt idx="34">
                  <c:v>Visualización de correlaciones</c:v>
                </c:pt>
                <c:pt idx="35">
                  <c:v>Selección y preparación de variables</c:v>
                </c:pt>
                <c:pt idx="36">
                  <c:v>Selección de variables relevantes</c:v>
                </c:pt>
                <c:pt idx="37">
                  <c:v>División train/test</c:v>
                </c:pt>
                <c:pt idx="38">
                  <c:v>Transformación de variables</c:v>
                </c:pt>
                <c:pt idx="39">
                  <c:v>Desarrollo del Modelo Predictivo</c:v>
                </c:pt>
                <c:pt idx="40">
                  <c:v>Diseño de arquitectura de red neuronal</c:v>
                </c:pt>
                <c:pt idx="41">
                  <c:v>Definir número de capas</c:v>
                </c:pt>
                <c:pt idx="42">
                  <c:v>Definir neuronas por capa</c:v>
                </c:pt>
                <c:pt idx="43">
                  <c:v>Seleccionar funciones de activación</c:v>
                </c:pt>
                <c:pt idx="44">
                  <c:v>Entrenamiento del modelo</c:v>
                </c:pt>
                <c:pt idx="45">
                  <c:v>Configurar hiperparámetros</c:v>
                </c:pt>
                <c:pt idx="46">
                  <c:v>Entrenar con datos históricos</c:v>
                </c:pt>
                <c:pt idx="47">
                  <c:v>Ajustar iteraciones</c:v>
                </c:pt>
                <c:pt idx="48">
                  <c:v>Evaluación y optimización</c:v>
                </c:pt>
                <c:pt idx="49">
                  <c:v>Calcular métricas de desempeño</c:v>
                </c:pt>
                <c:pt idx="50">
                  <c:v>Ajustar parámetros</c:v>
                </c:pt>
                <c:pt idx="51">
                  <c:v>Validar modelo final</c:v>
                </c:pt>
                <c:pt idx="52">
                  <c:v>Desarrollo de la Aplicación Web</c:v>
                </c:pt>
                <c:pt idx="53">
                  <c:v>Diseño de interfaz (Mockups)</c:v>
                </c:pt>
                <c:pt idx="54">
                  <c:v>Diseño visual</c:v>
                </c:pt>
                <c:pt idx="55">
                  <c:v>Definición de experiencia de usuario</c:v>
                </c:pt>
                <c:pt idx="56">
                  <c:v>Validación de prototipo</c:v>
                </c:pt>
                <c:pt idx="57">
                  <c:v>Desarrollo Frontend</c:v>
                </c:pt>
                <c:pt idx="58">
                  <c:v>Implementación interfaz responsiva</c:v>
                </c:pt>
                <c:pt idx="59">
                  <c:v>Conexión con API</c:v>
                </c:pt>
                <c:pt idx="60">
                  <c:v>Pruebas visuales</c:v>
                </c:pt>
                <c:pt idx="61">
                  <c:v>Desarrollo Backend e integración del modelo</c:v>
                </c:pt>
                <c:pt idx="62">
                  <c:v>Despliegue de la pagina</c:v>
                </c:pt>
                <c:pt idx="63">
                  <c:v>Integración del modelo predictivo</c:v>
                </c:pt>
                <c:pt idx="64">
                  <c:v>Pruebas de funcionamiento</c:v>
                </c:pt>
                <c:pt idx="65">
                  <c:v>Cierre del Proyecto</c:v>
                </c:pt>
                <c:pt idx="66">
                  <c:v>Documentación técnica y manual de usuario</c:v>
                </c:pt>
                <c:pt idx="67">
                  <c:v>Documentación del modelo</c:v>
                </c:pt>
                <c:pt idx="68">
                  <c:v>Manual de usuario</c:v>
                </c:pt>
                <c:pt idx="69">
                  <c:v>Informe final del proyecto</c:v>
                </c:pt>
                <c:pt idx="70">
                  <c:v>Redacción de resultados</c:v>
                </c:pt>
                <c:pt idx="71">
                  <c:v>Lecciones aprendidas</c:v>
                </c:pt>
                <c:pt idx="72">
                  <c:v>Conclusiones</c:v>
                </c:pt>
                <c:pt idx="73">
                  <c:v>Cierre formal del proyecto</c:v>
                </c:pt>
                <c:pt idx="74">
                  <c:v>Acta de cierre</c:v>
                </c:pt>
                <c:pt idx="75">
                  <c:v>Aprobación final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Hoja1!$D$2:$D$77</c15:sqref>
                  </c15:fullRef>
                </c:ext>
              </c:extLst>
              <c:f>Hoja1!$D$3:$D$77</c:f>
              <c:numCache>
                <c:formatCode>0</c:formatCode>
                <c:ptCount val="75"/>
                <c:pt idx="0">
                  <c:v>10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21</c:v>
                </c:pt>
                <c:pt idx="9">
                  <c:v>7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7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7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21</c:v>
                </c:pt>
                <c:pt idx="22">
                  <c:v>5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6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5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5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14</c:v>
                </c:pt>
                <c:pt idx="39">
                  <c:v>4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5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5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9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5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9-4C77-A006-5E8650079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9242144"/>
        <c:axId val="669254144"/>
      </c:barChart>
      <c:catAx>
        <c:axId val="8837644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9768303"/>
        <c:crosses val="autoZero"/>
        <c:auto val="1"/>
        <c:lblAlgn val="ctr"/>
        <c:lblOffset val="100"/>
        <c:noMultiLvlLbl val="0"/>
      </c:catAx>
      <c:valAx>
        <c:axId val="1119768303"/>
        <c:scaling>
          <c:orientation val="minMax"/>
          <c:min val="460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3764447"/>
        <c:crosses val="autoZero"/>
        <c:crossBetween val="between"/>
        <c:majorUnit val="10"/>
      </c:valAx>
      <c:valAx>
        <c:axId val="6692541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9242144"/>
        <c:crosses val="autoZero"/>
        <c:crossBetween val="between"/>
        <c:majorUnit val="1"/>
      </c:valAx>
      <c:catAx>
        <c:axId val="669242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69254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228602</xdr:colOff>
      <xdr:row>89</xdr:row>
      <xdr:rowOff>43542</xdr:rowOff>
    </xdr:from>
    <xdr:to>
      <xdr:col>8</xdr:col>
      <xdr:colOff>3481189</xdr:colOff>
      <xdr:row>143</xdr:row>
      <xdr:rowOff>21835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4AA15D-7E60-4053-B436-6D1ABE337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65</xdr:row>
      <xdr:rowOff>106680</xdr:rowOff>
    </xdr:from>
    <xdr:to>
      <xdr:col>18</xdr:col>
      <xdr:colOff>693420</xdr:colOff>
      <xdr:row>92</xdr:row>
      <xdr:rowOff>99060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31EB47F-F9A9-C107-F3FA-4F8B79641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129"/>
  <sheetViews>
    <sheetView showGridLines="0" tabSelected="1" topLeftCell="B1" zoomScale="70" zoomScaleNormal="70" workbookViewId="0">
      <pane ySplit="1" topLeftCell="A38" activePane="bottomLeft" state="frozen"/>
      <selection pane="bottomLeft" activeCell="O52" sqref="O52"/>
    </sheetView>
  </sheetViews>
  <sheetFormatPr baseColWidth="10" defaultColWidth="11" defaultRowHeight="13.2" outlineLevelRow="1" x14ac:dyDescent="0.25"/>
  <cols>
    <col min="1" max="1" width="3.3984375" style="4" customWidth="1"/>
    <col min="2" max="2" width="7.8984375" style="4" customWidth="1"/>
    <col min="3" max="3" width="57" style="4" bestFit="1" customWidth="1"/>
    <col min="4" max="4" width="12.8984375" style="4" customWidth="1"/>
    <col min="5" max="5" width="20.8984375" style="4" customWidth="1"/>
    <col min="6" max="7" width="8.8984375" style="4" customWidth="1"/>
    <col min="8" max="8" width="11.8984375" style="4" customWidth="1"/>
    <col min="9" max="9" width="50.8984375" style="4" customWidth="1"/>
    <col min="10" max="10" width="3.3984375" style="4" customWidth="1"/>
    <col min="11" max="11" width="12.8984375" style="4" customWidth="1"/>
    <col min="12" max="17" width="11" style="4"/>
    <col min="18" max="18" width="9" style="4" customWidth="1"/>
    <col min="19" max="16384" width="11" style="4"/>
  </cols>
  <sheetData>
    <row r="1" spans="1:258" ht="57" customHeight="1" x14ac:dyDescent="0.3">
      <c r="A1" s="1"/>
      <c r="B1" s="58" t="s">
        <v>19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11" customFormat="1" ht="18" customHeight="1" x14ac:dyDescent="0.3">
      <c r="A2" s="10"/>
      <c r="B2" s="10"/>
      <c r="C2" s="10" t="s">
        <v>9</v>
      </c>
      <c r="D2" s="10"/>
      <c r="E2" s="10" t="s">
        <v>11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</row>
    <row r="3" spans="1:258" ht="30" customHeight="1" thickBot="1" x14ac:dyDescent="0.3">
      <c r="A3" s="1"/>
      <c r="B3" s="1"/>
      <c r="C3" s="33" t="s">
        <v>19</v>
      </c>
      <c r="D3" s="1"/>
      <c r="E3" s="56">
        <v>46060</v>
      </c>
      <c r="F3" s="1"/>
      <c r="G3" s="1"/>
      <c r="H3" s="1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11" customFormat="1" ht="18" customHeight="1" thickBot="1" x14ac:dyDescent="0.35">
      <c r="A4" s="10"/>
      <c r="B4" s="10"/>
      <c r="C4" s="34" t="s">
        <v>10</v>
      </c>
      <c r="D4" s="10"/>
      <c r="E4" s="34" t="s">
        <v>12</v>
      </c>
      <c r="F4" s="10"/>
      <c r="G4" s="10"/>
      <c r="H4" s="10" t="s">
        <v>14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</row>
    <row r="5" spans="1:258" ht="30" customHeight="1" thickBot="1" x14ac:dyDescent="0.3">
      <c r="A5" s="1"/>
      <c r="B5" s="1"/>
      <c r="C5" s="55" t="s">
        <v>20</v>
      </c>
      <c r="D5" s="1"/>
      <c r="E5" s="56">
        <v>46172</v>
      </c>
      <c r="F5" s="1"/>
      <c r="G5" s="1"/>
      <c r="H5" s="57">
        <f>IF(E3=0,0,E5-E3)+1</f>
        <v>113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5">
      <c r="A6" s="1"/>
      <c r="B6" s="1"/>
      <c r="C6" s="1"/>
      <c r="D6" s="1"/>
      <c r="E6" s="35"/>
      <c r="F6" s="1"/>
      <c r="G6" s="1"/>
      <c r="H6" s="3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8" customFormat="1" ht="35.1" customHeight="1" thickBot="1" x14ac:dyDescent="0.35">
      <c r="A7" s="7"/>
      <c r="B7" s="37" t="s">
        <v>1</v>
      </c>
      <c r="C7" s="37" t="s">
        <v>2</v>
      </c>
      <c r="D7" s="37" t="s">
        <v>3</v>
      </c>
      <c r="E7" s="37" t="s">
        <v>4</v>
      </c>
      <c r="F7" s="40" t="s">
        <v>5</v>
      </c>
      <c r="G7" s="41" t="s">
        <v>6</v>
      </c>
      <c r="H7" s="37" t="s">
        <v>7</v>
      </c>
      <c r="I7" s="37" t="s">
        <v>8</v>
      </c>
      <c r="J7" s="7"/>
      <c r="K7" s="61" t="s">
        <v>3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</row>
    <row r="8" spans="1:258" s="6" customFormat="1" ht="24.9" customHeight="1" x14ac:dyDescent="0.3">
      <c r="A8" s="5"/>
      <c r="B8" s="36">
        <v>1</v>
      </c>
      <c r="C8" s="62" t="s">
        <v>21</v>
      </c>
      <c r="D8" s="38"/>
      <c r="E8" s="38"/>
      <c r="F8" s="39">
        <v>46060</v>
      </c>
      <c r="G8" s="42">
        <v>46080</v>
      </c>
      <c r="H8" s="43">
        <f>IF(F8=0,0,G8-F8)+1</f>
        <v>21</v>
      </c>
      <c r="I8" s="44"/>
      <c r="J8" s="5"/>
      <c r="K8" s="60" t="s">
        <v>17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</row>
    <row r="9" spans="1:258" s="6" customFormat="1" ht="24.9" customHeight="1" outlineLevel="1" x14ac:dyDescent="0.3">
      <c r="A9" s="5"/>
      <c r="B9" s="2">
        <v>1.1000000000000001</v>
      </c>
      <c r="C9" s="69" t="s">
        <v>25</v>
      </c>
      <c r="D9" s="3" t="s">
        <v>15</v>
      </c>
      <c r="E9" s="87" t="s">
        <v>145</v>
      </c>
      <c r="F9" s="45">
        <v>46060</v>
      </c>
      <c r="G9" s="45">
        <v>46069</v>
      </c>
      <c r="H9" s="49">
        <f>IF(F9=0,0,G9-F9)+1</f>
        <v>10</v>
      </c>
      <c r="I9" s="2"/>
      <c r="J9" s="5"/>
      <c r="K9" s="59" t="s">
        <v>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</row>
    <row r="10" spans="1:258" s="6" customFormat="1" ht="24.9" customHeight="1" outlineLevel="1" x14ac:dyDescent="0.3">
      <c r="A10" s="5"/>
      <c r="B10" s="2" t="s">
        <v>0</v>
      </c>
      <c r="C10" s="69" t="s">
        <v>27</v>
      </c>
      <c r="D10" s="3" t="s">
        <v>15</v>
      </c>
      <c r="E10" s="87" t="s">
        <v>145</v>
      </c>
      <c r="F10" s="45">
        <v>46060</v>
      </c>
      <c r="G10" s="45">
        <v>46061</v>
      </c>
      <c r="H10" s="49">
        <f t="shared" ref="H10:H11" si="0">IF(F10=0,0,G10-F10)+1</f>
        <v>2</v>
      </c>
      <c r="I10" s="2"/>
      <c r="J10" s="5"/>
      <c r="K10" s="63" t="s">
        <v>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</row>
    <row r="11" spans="1:258" s="6" customFormat="1" ht="24.9" customHeight="1" outlineLevel="1" x14ac:dyDescent="0.3">
      <c r="A11" s="5"/>
      <c r="B11" s="2" t="s">
        <v>28</v>
      </c>
      <c r="C11" s="69" t="s">
        <v>29</v>
      </c>
      <c r="D11" s="3" t="s">
        <v>15</v>
      </c>
      <c r="E11" s="87" t="s">
        <v>145</v>
      </c>
      <c r="F11" s="45">
        <v>46062</v>
      </c>
      <c r="G11" s="45">
        <v>46064</v>
      </c>
      <c r="H11" s="49">
        <f t="shared" si="0"/>
        <v>3</v>
      </c>
      <c r="I11" s="2"/>
      <c r="J11" s="5"/>
      <c r="K11" s="64" t="s">
        <v>18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</row>
    <row r="12" spans="1:258" s="6" customFormat="1" ht="24.9" customHeight="1" outlineLevel="1" x14ac:dyDescent="0.25">
      <c r="A12" s="5"/>
      <c r="B12" s="2" t="s">
        <v>30</v>
      </c>
      <c r="C12" s="69" t="s">
        <v>31</v>
      </c>
      <c r="D12" s="3" t="s">
        <v>15</v>
      </c>
      <c r="E12" s="87" t="s">
        <v>145</v>
      </c>
      <c r="F12" s="45">
        <v>46065</v>
      </c>
      <c r="G12" s="45">
        <v>46069</v>
      </c>
      <c r="H12" s="49">
        <f t="shared" ref="H12:H59" si="1">IF(F12=0,0,G12-F12)+1</f>
        <v>5</v>
      </c>
      <c r="I12" s="2"/>
      <c r="J12" s="5"/>
      <c r="K12" s="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</row>
    <row r="13" spans="1:258" s="6" customFormat="1" ht="24.9" customHeight="1" outlineLevel="1" x14ac:dyDescent="0.25">
      <c r="A13" s="5"/>
      <c r="B13" s="2">
        <v>1.2</v>
      </c>
      <c r="C13" s="69" t="s">
        <v>26</v>
      </c>
      <c r="D13" s="3" t="s">
        <v>15</v>
      </c>
      <c r="E13" s="87" t="s">
        <v>146</v>
      </c>
      <c r="F13" s="45">
        <v>46070</v>
      </c>
      <c r="G13" s="45">
        <v>46080</v>
      </c>
      <c r="H13" s="49">
        <f t="shared" si="1"/>
        <v>11</v>
      </c>
      <c r="I13" s="2"/>
      <c r="J13" s="5"/>
      <c r="K13" s="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</row>
    <row r="14" spans="1:258" s="6" customFormat="1" ht="24.9" customHeight="1" outlineLevel="1" x14ac:dyDescent="0.25">
      <c r="A14" s="5"/>
      <c r="B14" s="2" t="s">
        <v>35</v>
      </c>
      <c r="C14" s="69" t="s">
        <v>32</v>
      </c>
      <c r="D14" s="3" t="s">
        <v>15</v>
      </c>
      <c r="E14" s="87" t="s">
        <v>146</v>
      </c>
      <c r="F14" s="45">
        <v>46070</v>
      </c>
      <c r="G14" s="45">
        <v>46073</v>
      </c>
      <c r="H14" s="49">
        <f t="shared" si="1"/>
        <v>4</v>
      </c>
      <c r="I14" s="2"/>
      <c r="J14" s="5"/>
      <c r="K14" s="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</row>
    <row r="15" spans="1:258" s="6" customFormat="1" ht="24.9" customHeight="1" outlineLevel="1" x14ac:dyDescent="0.25">
      <c r="A15" s="5"/>
      <c r="B15" s="2" t="s">
        <v>36</v>
      </c>
      <c r="C15" s="69" t="s">
        <v>33</v>
      </c>
      <c r="D15" s="3" t="s">
        <v>15</v>
      </c>
      <c r="E15" s="87" t="s">
        <v>146</v>
      </c>
      <c r="F15" s="45">
        <v>46074</v>
      </c>
      <c r="G15" s="45">
        <v>46076</v>
      </c>
      <c r="H15" s="49">
        <f t="shared" si="1"/>
        <v>3</v>
      </c>
      <c r="I15" s="2"/>
      <c r="J15" s="5"/>
      <c r="K15" s="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</row>
    <row r="16" spans="1:258" s="6" customFormat="1" ht="24.9" customHeight="1" x14ac:dyDescent="0.25">
      <c r="A16" s="5"/>
      <c r="B16" s="2" t="s">
        <v>37</v>
      </c>
      <c r="C16" s="69" t="s">
        <v>34</v>
      </c>
      <c r="D16" s="3" t="s">
        <v>15</v>
      </c>
      <c r="E16" s="87" t="s">
        <v>146</v>
      </c>
      <c r="F16" s="45">
        <v>46077</v>
      </c>
      <c r="G16" s="46">
        <v>46080</v>
      </c>
      <c r="H16" s="49">
        <f t="shared" si="1"/>
        <v>4</v>
      </c>
      <c r="I16" s="2"/>
      <c r="J16" s="5"/>
      <c r="K16" s="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</row>
    <row r="17" spans="1:258" s="6" customFormat="1" ht="24.9" customHeight="1" outlineLevel="1" x14ac:dyDescent="0.25">
      <c r="A17" s="5"/>
      <c r="B17" s="15">
        <v>2</v>
      </c>
      <c r="C17" s="15" t="s">
        <v>22</v>
      </c>
      <c r="D17" s="18"/>
      <c r="E17" s="19"/>
      <c r="F17" s="20">
        <v>46081</v>
      </c>
      <c r="G17" s="21">
        <v>46101</v>
      </c>
      <c r="H17" s="22">
        <f t="shared" si="1"/>
        <v>21</v>
      </c>
      <c r="I17" s="12"/>
      <c r="J17" s="5"/>
      <c r="K17" s="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</row>
    <row r="18" spans="1:258" s="6" customFormat="1" ht="24.9" customHeight="1" outlineLevel="1" x14ac:dyDescent="0.3">
      <c r="A18" s="5"/>
      <c r="B18" s="2">
        <v>2.1</v>
      </c>
      <c r="C18" s="69" t="s">
        <v>38</v>
      </c>
      <c r="D18" s="3" t="s">
        <v>15</v>
      </c>
      <c r="E18" s="88" t="s">
        <v>147</v>
      </c>
      <c r="F18" s="45">
        <v>46081</v>
      </c>
      <c r="G18" s="46">
        <v>46087</v>
      </c>
      <c r="H18" s="50">
        <f t="shared" si="1"/>
        <v>7</v>
      </c>
      <c r="I18" s="2"/>
      <c r="J18" s="5"/>
      <c r="K18" s="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</row>
    <row r="19" spans="1:258" s="6" customFormat="1" ht="24.9" customHeight="1" outlineLevel="1" x14ac:dyDescent="0.25">
      <c r="A19" s="5"/>
      <c r="B19" s="2" t="s">
        <v>42</v>
      </c>
      <c r="C19" s="69" t="s">
        <v>39</v>
      </c>
      <c r="D19" s="3" t="s">
        <v>15</v>
      </c>
      <c r="E19" s="89" t="s">
        <v>147</v>
      </c>
      <c r="F19" s="45">
        <v>46081</v>
      </c>
      <c r="G19" s="46">
        <v>46082</v>
      </c>
      <c r="H19" s="50">
        <f t="shared" si="1"/>
        <v>2</v>
      </c>
      <c r="I19" s="2"/>
      <c r="J19" s="5"/>
      <c r="K19" s="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</row>
    <row r="20" spans="1:258" s="6" customFormat="1" ht="24.9" customHeight="1" outlineLevel="1" x14ac:dyDescent="0.25">
      <c r="A20" s="5"/>
      <c r="B20" s="2" t="s">
        <v>43</v>
      </c>
      <c r="C20" s="69" t="s">
        <v>40</v>
      </c>
      <c r="D20" s="3" t="s">
        <v>15</v>
      </c>
      <c r="E20" s="89" t="s">
        <v>147</v>
      </c>
      <c r="F20" s="45">
        <v>46083</v>
      </c>
      <c r="G20" s="46">
        <v>46084</v>
      </c>
      <c r="H20" s="50">
        <f t="shared" si="1"/>
        <v>2</v>
      </c>
      <c r="I20" s="2"/>
      <c r="J20" s="5"/>
      <c r="K20" s="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</row>
    <row r="21" spans="1:258" s="6" customFormat="1" ht="24.9" customHeight="1" thickBot="1" x14ac:dyDescent="0.3">
      <c r="A21" s="5"/>
      <c r="B21" s="2" t="s">
        <v>44</v>
      </c>
      <c r="C21" s="70" t="s">
        <v>41</v>
      </c>
      <c r="D21" s="3" t="s">
        <v>15</v>
      </c>
      <c r="E21" s="89" t="s">
        <v>147</v>
      </c>
      <c r="F21" s="47">
        <v>46085</v>
      </c>
      <c r="G21" s="48">
        <v>46087</v>
      </c>
      <c r="H21" s="51">
        <f t="shared" ref="H21:H28" si="2">IF(F21=0,0,G21-F21)+1</f>
        <v>3</v>
      </c>
      <c r="I21" s="9"/>
      <c r="J21" s="5"/>
      <c r="K21" s="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</row>
    <row r="22" spans="1:258" s="6" customFormat="1" ht="24.9" customHeight="1" outlineLevel="1" x14ac:dyDescent="0.25">
      <c r="A22" s="5"/>
      <c r="B22" s="2">
        <v>2.2000000000000002</v>
      </c>
      <c r="C22" s="71" t="s">
        <v>45</v>
      </c>
      <c r="D22" s="3" t="s">
        <v>15</v>
      </c>
      <c r="E22" s="90" t="s">
        <v>147</v>
      </c>
      <c r="F22" s="66">
        <v>46088</v>
      </c>
      <c r="G22" s="56">
        <v>46094</v>
      </c>
      <c r="H22" s="67">
        <f t="shared" si="2"/>
        <v>7</v>
      </c>
      <c r="I22" s="68"/>
      <c r="J22" s="5"/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</row>
    <row r="23" spans="1:258" s="6" customFormat="1" ht="24.9" customHeight="1" outlineLevel="1" x14ac:dyDescent="0.25">
      <c r="A23" s="5"/>
      <c r="B23" s="2" t="s">
        <v>149</v>
      </c>
      <c r="C23" s="71" t="s">
        <v>46</v>
      </c>
      <c r="D23" s="3" t="s">
        <v>15</v>
      </c>
      <c r="E23" s="90" t="s">
        <v>147</v>
      </c>
      <c r="F23" s="66">
        <v>46088</v>
      </c>
      <c r="G23" s="56">
        <v>46089</v>
      </c>
      <c r="H23" s="67">
        <f t="shared" si="2"/>
        <v>2</v>
      </c>
      <c r="I23" s="68"/>
      <c r="J23" s="5"/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</row>
    <row r="24" spans="1:258" s="6" customFormat="1" ht="24.9" customHeight="1" outlineLevel="1" x14ac:dyDescent="0.25">
      <c r="A24" s="5"/>
      <c r="B24" s="2" t="s">
        <v>150</v>
      </c>
      <c r="C24" s="71" t="s">
        <v>47</v>
      </c>
      <c r="D24" s="3" t="s">
        <v>15</v>
      </c>
      <c r="E24" s="90" t="s">
        <v>147</v>
      </c>
      <c r="F24" s="66">
        <v>46090</v>
      </c>
      <c r="G24" s="56">
        <v>46092</v>
      </c>
      <c r="H24" s="67">
        <f t="shared" si="2"/>
        <v>3</v>
      </c>
      <c r="I24" s="68"/>
      <c r="J24" s="5"/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</row>
    <row r="25" spans="1:258" s="6" customFormat="1" ht="24.9" customHeight="1" outlineLevel="1" x14ac:dyDescent="0.25">
      <c r="A25" s="5"/>
      <c r="B25" s="2" t="s">
        <v>55</v>
      </c>
      <c r="C25" s="71" t="s">
        <v>48</v>
      </c>
      <c r="D25" s="3" t="s">
        <v>15</v>
      </c>
      <c r="E25" s="90" t="s">
        <v>147</v>
      </c>
      <c r="F25" s="66">
        <v>46093</v>
      </c>
      <c r="G25" s="56">
        <v>46094</v>
      </c>
      <c r="H25" s="67">
        <f t="shared" si="2"/>
        <v>2</v>
      </c>
      <c r="I25" s="68"/>
      <c r="J25" s="5"/>
      <c r="K25" s="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</row>
    <row r="26" spans="1:258" s="6" customFormat="1" ht="24.9" customHeight="1" outlineLevel="1" x14ac:dyDescent="0.25">
      <c r="A26" s="5"/>
      <c r="B26" s="2">
        <v>2.2999999999999998</v>
      </c>
      <c r="C26" s="71" t="s">
        <v>49</v>
      </c>
      <c r="D26" s="3" t="s">
        <v>15</v>
      </c>
      <c r="E26" s="87" t="s">
        <v>145</v>
      </c>
      <c r="F26" s="66">
        <v>46095</v>
      </c>
      <c r="G26" s="56">
        <v>46101</v>
      </c>
      <c r="H26" s="67">
        <f t="shared" si="2"/>
        <v>7</v>
      </c>
      <c r="I26" s="68"/>
      <c r="J26" s="5"/>
      <c r="K26" s="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</row>
    <row r="27" spans="1:258" s="6" customFormat="1" ht="24.9" customHeight="1" outlineLevel="1" x14ac:dyDescent="0.25">
      <c r="A27" s="5"/>
      <c r="B27" s="2" t="s">
        <v>53</v>
      </c>
      <c r="C27" s="71" t="s">
        <v>50</v>
      </c>
      <c r="D27" s="3" t="s">
        <v>15</v>
      </c>
      <c r="E27" s="87" t="s">
        <v>145</v>
      </c>
      <c r="F27" s="66">
        <v>46095</v>
      </c>
      <c r="G27" s="56">
        <v>46096</v>
      </c>
      <c r="H27" s="67">
        <f t="shared" si="2"/>
        <v>2</v>
      </c>
      <c r="I27" s="68"/>
      <c r="J27" s="5"/>
      <c r="K27" s="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</row>
    <row r="28" spans="1:258" s="6" customFormat="1" ht="24.9" customHeight="1" x14ac:dyDescent="0.25">
      <c r="A28" s="5"/>
      <c r="B28" s="2" t="s">
        <v>54</v>
      </c>
      <c r="C28" s="71" t="s">
        <v>51</v>
      </c>
      <c r="D28" s="3" t="s">
        <v>15</v>
      </c>
      <c r="E28" s="87" t="s">
        <v>145</v>
      </c>
      <c r="F28" s="66">
        <v>46097</v>
      </c>
      <c r="G28" s="56">
        <v>46098</v>
      </c>
      <c r="H28" s="67">
        <f t="shared" si="2"/>
        <v>2</v>
      </c>
      <c r="I28" s="68"/>
      <c r="J28" s="5"/>
      <c r="K28" s="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</row>
    <row r="29" spans="1:258" s="6" customFormat="1" ht="24.9" customHeight="1" outlineLevel="1" thickBot="1" x14ac:dyDescent="0.3">
      <c r="A29" s="5"/>
      <c r="B29" s="2" t="s">
        <v>55</v>
      </c>
      <c r="C29" s="70" t="s">
        <v>52</v>
      </c>
      <c r="D29" s="3" t="s">
        <v>15</v>
      </c>
      <c r="E29" s="87" t="s">
        <v>146</v>
      </c>
      <c r="F29" s="47">
        <v>46099</v>
      </c>
      <c r="G29" s="48">
        <v>46100</v>
      </c>
      <c r="H29" s="51">
        <f t="shared" si="1"/>
        <v>2</v>
      </c>
      <c r="I29" s="9"/>
      <c r="J29" s="5"/>
      <c r="K29" s="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</row>
    <row r="30" spans="1:258" s="6" customFormat="1" ht="24.9" customHeight="1" outlineLevel="1" x14ac:dyDescent="0.25">
      <c r="A30" s="5"/>
      <c r="B30" s="16">
        <v>3</v>
      </c>
      <c r="C30" s="16" t="s">
        <v>23</v>
      </c>
      <c r="D30" s="23"/>
      <c r="E30" s="24"/>
      <c r="F30" s="25">
        <v>46102</v>
      </c>
      <c r="G30" s="26">
        <v>46122</v>
      </c>
      <c r="H30" s="27">
        <f t="shared" si="1"/>
        <v>21</v>
      </c>
      <c r="I30" s="13"/>
      <c r="J30" s="5"/>
      <c r="K30" s="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</row>
    <row r="31" spans="1:258" s="6" customFormat="1" ht="24.9" customHeight="1" outlineLevel="1" x14ac:dyDescent="0.3">
      <c r="A31" s="5"/>
      <c r="B31" s="2">
        <v>3.1</v>
      </c>
      <c r="C31" s="69" t="s">
        <v>56</v>
      </c>
      <c r="D31" s="3" t="s">
        <v>15</v>
      </c>
      <c r="E31" s="88" t="s">
        <v>148</v>
      </c>
      <c r="F31" s="45">
        <v>46102</v>
      </c>
      <c r="G31" s="46">
        <v>46106</v>
      </c>
      <c r="H31" s="52">
        <f t="shared" si="1"/>
        <v>5</v>
      </c>
      <c r="I31" s="2"/>
      <c r="J31" s="5"/>
      <c r="K31" s="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</row>
    <row r="32" spans="1:258" s="6" customFormat="1" ht="24.9" customHeight="1" outlineLevel="1" x14ac:dyDescent="0.25">
      <c r="A32" s="5"/>
      <c r="B32" s="2" t="s">
        <v>60</v>
      </c>
      <c r="C32" s="69" t="s">
        <v>57</v>
      </c>
      <c r="D32" s="3" t="s">
        <v>15</v>
      </c>
      <c r="E32" s="87" t="s">
        <v>148</v>
      </c>
      <c r="F32" s="45">
        <v>46102</v>
      </c>
      <c r="G32" s="46">
        <v>46103</v>
      </c>
      <c r="H32" s="52">
        <f t="shared" si="1"/>
        <v>2</v>
      </c>
      <c r="I32" s="2"/>
      <c r="J32" s="5"/>
      <c r="K32" s="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</row>
    <row r="33" spans="1:258" ht="17.399999999999999" x14ac:dyDescent="0.25">
      <c r="A33" s="1"/>
      <c r="B33" s="2" t="s">
        <v>61</v>
      </c>
      <c r="C33" s="69" t="s">
        <v>58</v>
      </c>
      <c r="D33" s="3" t="s">
        <v>15</v>
      </c>
      <c r="E33" s="87" t="s">
        <v>148</v>
      </c>
      <c r="F33" s="45">
        <v>46104</v>
      </c>
      <c r="G33" s="46">
        <v>46105</v>
      </c>
      <c r="H33" s="52">
        <f t="shared" si="1"/>
        <v>2</v>
      </c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7.399999999999999" x14ac:dyDescent="0.25">
      <c r="A34" s="1"/>
      <c r="B34" s="2" t="s">
        <v>62</v>
      </c>
      <c r="C34" s="69" t="s">
        <v>59</v>
      </c>
      <c r="D34" s="3" t="s">
        <v>15</v>
      </c>
      <c r="E34" s="87" t="s">
        <v>148</v>
      </c>
      <c r="F34" s="45">
        <v>46106</v>
      </c>
      <c r="G34" s="46">
        <v>46106</v>
      </c>
      <c r="H34" s="52">
        <f t="shared" si="1"/>
        <v>1</v>
      </c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7.399999999999999" x14ac:dyDescent="0.25">
      <c r="A35" s="1"/>
      <c r="B35" s="2">
        <v>3.2</v>
      </c>
      <c r="C35" s="69" t="s">
        <v>63</v>
      </c>
      <c r="D35" s="3" t="s">
        <v>15</v>
      </c>
      <c r="E35" s="87" t="s">
        <v>148</v>
      </c>
      <c r="F35" s="45">
        <v>46107</v>
      </c>
      <c r="G35" s="46">
        <v>46112</v>
      </c>
      <c r="H35" s="52">
        <f t="shared" si="1"/>
        <v>6</v>
      </c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7.399999999999999" x14ac:dyDescent="0.25">
      <c r="A36" s="1"/>
      <c r="B36" s="2" t="s">
        <v>67</v>
      </c>
      <c r="C36" s="69" t="s">
        <v>64</v>
      </c>
      <c r="D36" s="3" t="s">
        <v>15</v>
      </c>
      <c r="E36" s="87" t="s">
        <v>148</v>
      </c>
      <c r="F36" s="45">
        <v>46107</v>
      </c>
      <c r="G36" s="45">
        <v>46108</v>
      </c>
      <c r="H36" s="52">
        <f t="shared" si="1"/>
        <v>2</v>
      </c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7.399999999999999" x14ac:dyDescent="0.25">
      <c r="A37" s="1"/>
      <c r="B37" s="2" t="s">
        <v>68</v>
      </c>
      <c r="C37" s="69" t="s">
        <v>65</v>
      </c>
      <c r="D37" s="3" t="s">
        <v>15</v>
      </c>
      <c r="E37" s="87" t="s">
        <v>148</v>
      </c>
      <c r="F37" s="45">
        <v>46109</v>
      </c>
      <c r="G37" s="46">
        <v>46110</v>
      </c>
      <c r="H37" s="52">
        <f t="shared" si="1"/>
        <v>2</v>
      </c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7.399999999999999" x14ac:dyDescent="0.25">
      <c r="A38" s="1"/>
      <c r="B38" s="2" t="s">
        <v>69</v>
      </c>
      <c r="C38" s="69" t="s">
        <v>66</v>
      </c>
      <c r="D38" s="3" t="s">
        <v>15</v>
      </c>
      <c r="E38" s="87" t="s">
        <v>148</v>
      </c>
      <c r="F38" s="45">
        <v>46111</v>
      </c>
      <c r="G38" s="46">
        <v>46112</v>
      </c>
      <c r="H38" s="52">
        <f t="shared" si="1"/>
        <v>2</v>
      </c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7.399999999999999" x14ac:dyDescent="0.25">
      <c r="A39" s="1"/>
      <c r="B39" s="2">
        <v>3.3</v>
      </c>
      <c r="C39" s="69" t="s">
        <v>70</v>
      </c>
      <c r="D39" s="3" t="s">
        <v>15</v>
      </c>
      <c r="E39" s="87" t="s">
        <v>148</v>
      </c>
      <c r="F39" s="45">
        <v>46113</v>
      </c>
      <c r="G39" s="46">
        <v>46117</v>
      </c>
      <c r="H39" s="52">
        <f t="shared" si="1"/>
        <v>5</v>
      </c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7.399999999999999" x14ac:dyDescent="0.25">
      <c r="A40" s="1"/>
      <c r="B40" s="2" t="s">
        <v>74</v>
      </c>
      <c r="C40" s="69" t="s">
        <v>71</v>
      </c>
      <c r="D40" s="3" t="s">
        <v>15</v>
      </c>
      <c r="E40" s="87" t="s">
        <v>148</v>
      </c>
      <c r="F40" s="45">
        <v>46113</v>
      </c>
      <c r="G40" s="46">
        <v>46114</v>
      </c>
      <c r="H40" s="52">
        <f t="shared" si="1"/>
        <v>2</v>
      </c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7.399999999999999" x14ac:dyDescent="0.25">
      <c r="A41" s="1"/>
      <c r="B41" s="2" t="s">
        <v>75</v>
      </c>
      <c r="C41" s="69" t="s">
        <v>72</v>
      </c>
      <c r="D41" s="3" t="s">
        <v>15</v>
      </c>
      <c r="E41" s="87" t="s">
        <v>148</v>
      </c>
      <c r="F41" s="45">
        <v>46115</v>
      </c>
      <c r="G41" s="46">
        <v>46116</v>
      </c>
      <c r="H41" s="52">
        <f t="shared" si="1"/>
        <v>2</v>
      </c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7.399999999999999" x14ac:dyDescent="0.25">
      <c r="A42" s="1"/>
      <c r="B42" s="2" t="s">
        <v>76</v>
      </c>
      <c r="C42" s="69" t="s">
        <v>73</v>
      </c>
      <c r="D42" s="3" t="s">
        <v>15</v>
      </c>
      <c r="E42" s="87" t="s">
        <v>148</v>
      </c>
      <c r="F42" s="45">
        <v>46117</v>
      </c>
      <c r="G42" s="45">
        <v>46117</v>
      </c>
      <c r="H42" s="52">
        <f t="shared" si="1"/>
        <v>1</v>
      </c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7.399999999999999" x14ac:dyDescent="0.25">
      <c r="A43" s="1"/>
      <c r="B43" s="2">
        <v>3.4</v>
      </c>
      <c r="C43" s="69" t="s">
        <v>77</v>
      </c>
      <c r="D43" s="3" t="s">
        <v>15</v>
      </c>
      <c r="E43" s="87" t="s">
        <v>148</v>
      </c>
      <c r="F43" s="45">
        <v>46118</v>
      </c>
      <c r="G43" s="46">
        <v>46122</v>
      </c>
      <c r="H43" s="52">
        <f t="shared" si="1"/>
        <v>5</v>
      </c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7.399999999999999" x14ac:dyDescent="0.25">
      <c r="A44" s="1"/>
      <c r="B44" s="2" t="s">
        <v>81</v>
      </c>
      <c r="C44" s="69" t="s">
        <v>78</v>
      </c>
      <c r="D44" s="3" t="s">
        <v>15</v>
      </c>
      <c r="E44" s="87" t="s">
        <v>148</v>
      </c>
      <c r="F44" s="45">
        <v>46118</v>
      </c>
      <c r="G44" s="45">
        <v>46118</v>
      </c>
      <c r="H44" s="52">
        <f t="shared" si="1"/>
        <v>1</v>
      </c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8" thickBot="1" x14ac:dyDescent="0.3">
      <c r="A45" s="1"/>
      <c r="B45" s="2" t="s">
        <v>82</v>
      </c>
      <c r="C45" s="70" t="s">
        <v>79</v>
      </c>
      <c r="D45" s="3" t="s">
        <v>15</v>
      </c>
      <c r="E45" s="87" t="s">
        <v>148</v>
      </c>
      <c r="F45" s="45">
        <v>46119</v>
      </c>
      <c r="G45" s="46">
        <v>46120</v>
      </c>
      <c r="H45" s="52">
        <f t="shared" si="1"/>
        <v>2</v>
      </c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8" thickBot="1" x14ac:dyDescent="0.3">
      <c r="A46" s="1"/>
      <c r="B46" s="2" t="s">
        <v>83</v>
      </c>
      <c r="C46" s="70" t="s">
        <v>80</v>
      </c>
      <c r="D46" s="3" t="s">
        <v>15</v>
      </c>
      <c r="E46" s="87" t="s">
        <v>148</v>
      </c>
      <c r="F46" s="47">
        <v>46121</v>
      </c>
      <c r="G46" s="48">
        <v>46122</v>
      </c>
      <c r="H46" s="53">
        <f t="shared" si="1"/>
        <v>2</v>
      </c>
      <c r="I46" s="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x14ac:dyDescent="0.25">
      <c r="A47" s="1"/>
      <c r="B47" s="17">
        <v>4</v>
      </c>
      <c r="C47" s="17" t="s">
        <v>24</v>
      </c>
      <c r="D47" s="28"/>
      <c r="E47" s="29"/>
      <c r="F47" s="30">
        <v>46123</v>
      </c>
      <c r="G47" s="31">
        <v>46136</v>
      </c>
      <c r="H47" s="32">
        <f t="shared" si="1"/>
        <v>14</v>
      </c>
      <c r="I47" s="1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7.399999999999999" x14ac:dyDescent="0.25">
      <c r="A48" s="1"/>
      <c r="B48" s="2">
        <v>4.0999999999999996</v>
      </c>
      <c r="C48" s="69" t="s">
        <v>84</v>
      </c>
      <c r="D48" s="3" t="s">
        <v>15</v>
      </c>
      <c r="E48" s="87" t="s">
        <v>146</v>
      </c>
      <c r="F48" s="45">
        <v>46123</v>
      </c>
      <c r="G48" s="46">
        <v>46126</v>
      </c>
      <c r="H48" s="54">
        <f t="shared" si="1"/>
        <v>4</v>
      </c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7.399999999999999" x14ac:dyDescent="0.25">
      <c r="A49" s="1"/>
      <c r="B49" s="2" t="s">
        <v>88</v>
      </c>
      <c r="C49" s="69" t="s">
        <v>85</v>
      </c>
      <c r="D49" s="3" t="s">
        <v>15</v>
      </c>
      <c r="E49" s="87" t="s">
        <v>146</v>
      </c>
      <c r="F49" s="45">
        <v>46123</v>
      </c>
      <c r="G49" s="45">
        <v>46123</v>
      </c>
      <c r="H49" s="54">
        <f t="shared" si="1"/>
        <v>1</v>
      </c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7.399999999999999" x14ac:dyDescent="0.25">
      <c r="A50" s="1"/>
      <c r="B50" s="2" t="s">
        <v>89</v>
      </c>
      <c r="C50" s="69" t="s">
        <v>86</v>
      </c>
      <c r="D50" s="3" t="s">
        <v>15</v>
      </c>
      <c r="E50" s="87" t="s">
        <v>146</v>
      </c>
      <c r="F50" s="45">
        <v>46124</v>
      </c>
      <c r="G50" s="45">
        <v>46124</v>
      </c>
      <c r="H50" s="54">
        <f t="shared" si="1"/>
        <v>1</v>
      </c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7.399999999999999" x14ac:dyDescent="0.25">
      <c r="A51" s="1"/>
      <c r="B51" s="2" t="s">
        <v>90</v>
      </c>
      <c r="C51" s="71" t="s">
        <v>87</v>
      </c>
      <c r="D51" s="3" t="s">
        <v>15</v>
      </c>
      <c r="E51" s="87" t="s">
        <v>146</v>
      </c>
      <c r="F51" s="66">
        <v>46125</v>
      </c>
      <c r="G51" s="56">
        <v>46126</v>
      </c>
      <c r="H51" s="54">
        <f t="shared" si="1"/>
        <v>2</v>
      </c>
      <c r="I51" s="6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7.399999999999999" x14ac:dyDescent="0.25">
      <c r="A52" s="1"/>
      <c r="B52" s="68">
        <v>4.2</v>
      </c>
      <c r="C52" s="71" t="s">
        <v>91</v>
      </c>
      <c r="D52" s="3" t="s">
        <v>15</v>
      </c>
      <c r="E52" s="87" t="s">
        <v>146</v>
      </c>
      <c r="F52" s="66">
        <v>46127</v>
      </c>
      <c r="G52" s="56">
        <v>46131</v>
      </c>
      <c r="H52" s="54">
        <f t="shared" si="1"/>
        <v>5</v>
      </c>
      <c r="I52" s="6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7.399999999999999" x14ac:dyDescent="0.25">
      <c r="A53" s="1"/>
      <c r="B53" s="68" t="s">
        <v>95</v>
      </c>
      <c r="C53" s="71" t="s">
        <v>92</v>
      </c>
      <c r="D53" s="3" t="s">
        <v>15</v>
      </c>
      <c r="E53" s="87" t="s">
        <v>146</v>
      </c>
      <c r="F53" s="66">
        <v>46127</v>
      </c>
      <c r="G53" s="56">
        <v>46128</v>
      </c>
      <c r="H53" s="54">
        <f t="shared" si="1"/>
        <v>2</v>
      </c>
      <c r="I53" s="6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7.399999999999999" x14ac:dyDescent="0.25">
      <c r="A54" s="1"/>
      <c r="B54" s="68" t="s">
        <v>96</v>
      </c>
      <c r="C54" s="71" t="s">
        <v>93</v>
      </c>
      <c r="D54" s="3" t="s">
        <v>15</v>
      </c>
      <c r="E54" s="87" t="s">
        <v>146</v>
      </c>
      <c r="F54" s="66">
        <v>46129</v>
      </c>
      <c r="G54" s="56">
        <v>46130</v>
      </c>
      <c r="H54" s="54">
        <f t="shared" si="1"/>
        <v>2</v>
      </c>
      <c r="I54" s="6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7.399999999999999" x14ac:dyDescent="0.25">
      <c r="A55" s="1"/>
      <c r="B55" s="68" t="s">
        <v>97</v>
      </c>
      <c r="C55" s="71" t="s">
        <v>94</v>
      </c>
      <c r="D55" s="3" t="s">
        <v>15</v>
      </c>
      <c r="E55" s="87" t="s">
        <v>146</v>
      </c>
      <c r="F55" s="66">
        <v>46131</v>
      </c>
      <c r="G55" s="66">
        <v>46131</v>
      </c>
      <c r="H55" s="54">
        <f t="shared" si="1"/>
        <v>1</v>
      </c>
      <c r="I55" s="6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7.399999999999999" x14ac:dyDescent="0.25">
      <c r="A56" s="1"/>
      <c r="B56" s="68">
        <v>4.3</v>
      </c>
      <c r="C56" s="71" t="s">
        <v>101</v>
      </c>
      <c r="D56" s="3" t="s">
        <v>15</v>
      </c>
      <c r="E56" s="87" t="s">
        <v>146</v>
      </c>
      <c r="F56" s="66">
        <v>46132</v>
      </c>
      <c r="G56" s="56">
        <v>46136</v>
      </c>
      <c r="H56" s="54">
        <f t="shared" si="1"/>
        <v>5</v>
      </c>
      <c r="I56" s="6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7.399999999999999" x14ac:dyDescent="0.25">
      <c r="A57" s="1"/>
      <c r="B57" s="68" t="s">
        <v>102</v>
      </c>
      <c r="C57" s="71" t="s">
        <v>98</v>
      </c>
      <c r="D57" s="3" t="s">
        <v>15</v>
      </c>
      <c r="E57" s="87" t="s">
        <v>146</v>
      </c>
      <c r="F57" s="66">
        <v>46132</v>
      </c>
      <c r="G57" s="56">
        <v>46133</v>
      </c>
      <c r="H57" s="54">
        <f t="shared" si="1"/>
        <v>2</v>
      </c>
      <c r="I57" s="6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7.399999999999999" x14ac:dyDescent="0.25">
      <c r="A58" s="1"/>
      <c r="B58" s="68" t="s">
        <v>103</v>
      </c>
      <c r="C58" s="71" t="s">
        <v>99</v>
      </c>
      <c r="D58" s="3" t="s">
        <v>15</v>
      </c>
      <c r="E58" s="87" t="s">
        <v>146</v>
      </c>
      <c r="F58" s="66">
        <v>46134</v>
      </c>
      <c r="G58" s="56">
        <v>46135</v>
      </c>
      <c r="H58" s="93">
        <f t="shared" si="1"/>
        <v>2</v>
      </c>
      <c r="I58" s="6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7.399999999999999" x14ac:dyDescent="0.25">
      <c r="A59" s="1"/>
      <c r="B59" s="68" t="s">
        <v>104</v>
      </c>
      <c r="C59" s="71" t="s">
        <v>100</v>
      </c>
      <c r="D59" s="3" t="s">
        <v>15</v>
      </c>
      <c r="E59" s="87" t="s">
        <v>146</v>
      </c>
      <c r="F59" s="66">
        <v>46136</v>
      </c>
      <c r="G59" s="66">
        <v>46136</v>
      </c>
      <c r="H59" s="54">
        <f t="shared" si="1"/>
        <v>1</v>
      </c>
      <c r="I59" s="6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x14ac:dyDescent="0.25">
      <c r="A60" s="1"/>
      <c r="B60" s="73">
        <v>5</v>
      </c>
      <c r="C60" s="73" t="s">
        <v>105</v>
      </c>
      <c r="D60" s="74"/>
      <c r="E60" s="75"/>
      <c r="F60" s="76">
        <v>46137</v>
      </c>
      <c r="G60" s="77">
        <v>46145</v>
      </c>
      <c r="H60" s="78">
        <f t="shared" ref="H60:H72" si="3">IF(F60=0,0,G60-F60)+1</f>
        <v>9</v>
      </c>
      <c r="I60" s="7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7.399999999999999" x14ac:dyDescent="0.25">
      <c r="A61" s="1"/>
      <c r="B61" s="68">
        <v>5.0999999999999996</v>
      </c>
      <c r="C61" s="71" t="s">
        <v>112</v>
      </c>
      <c r="D61" s="3" t="s">
        <v>16</v>
      </c>
      <c r="E61" s="90" t="s">
        <v>147</v>
      </c>
      <c r="F61" s="66">
        <v>46137</v>
      </c>
      <c r="G61" s="56">
        <v>46139</v>
      </c>
      <c r="H61" s="92">
        <f t="shared" si="3"/>
        <v>3</v>
      </c>
      <c r="I61" s="6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7.399999999999999" x14ac:dyDescent="0.25">
      <c r="A62" s="1"/>
      <c r="B62" s="68" t="s">
        <v>109</v>
      </c>
      <c r="C62" s="71" t="s">
        <v>106</v>
      </c>
      <c r="D62" s="3" t="s">
        <v>15</v>
      </c>
      <c r="E62" s="90" t="s">
        <v>147</v>
      </c>
      <c r="F62" s="66">
        <v>46137</v>
      </c>
      <c r="G62" s="66">
        <v>46137</v>
      </c>
      <c r="H62" s="92">
        <f t="shared" si="3"/>
        <v>1</v>
      </c>
      <c r="I62" s="6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7.399999999999999" x14ac:dyDescent="0.25">
      <c r="A63" s="1"/>
      <c r="B63" s="68" t="s">
        <v>110</v>
      </c>
      <c r="C63" s="71" t="s">
        <v>107</v>
      </c>
      <c r="D63" s="3" t="s">
        <v>16</v>
      </c>
      <c r="E63" s="90" t="s">
        <v>147</v>
      </c>
      <c r="F63" s="66">
        <v>46138</v>
      </c>
      <c r="G63" s="66">
        <v>46138</v>
      </c>
      <c r="H63" s="92">
        <f t="shared" si="3"/>
        <v>1</v>
      </c>
      <c r="I63" s="6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7.399999999999999" x14ac:dyDescent="0.25">
      <c r="A64" s="1"/>
      <c r="B64" s="68" t="s">
        <v>111</v>
      </c>
      <c r="C64" s="71" t="s">
        <v>108</v>
      </c>
      <c r="D64" s="3" t="s">
        <v>16</v>
      </c>
      <c r="E64" s="90" t="s">
        <v>147</v>
      </c>
      <c r="F64" s="66">
        <v>46139</v>
      </c>
      <c r="G64" s="66">
        <v>46139</v>
      </c>
      <c r="H64" s="92">
        <f t="shared" si="3"/>
        <v>1</v>
      </c>
      <c r="I64" s="6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17.399999999999999" x14ac:dyDescent="0.25">
      <c r="A65" s="1"/>
      <c r="B65" s="68">
        <v>5.2</v>
      </c>
      <c r="C65" s="71" t="s">
        <v>119</v>
      </c>
      <c r="D65" s="3" t="s">
        <v>16</v>
      </c>
      <c r="E65" s="90" t="s">
        <v>147</v>
      </c>
      <c r="F65" s="66">
        <v>46140</v>
      </c>
      <c r="G65" s="56">
        <v>46142</v>
      </c>
      <c r="H65" s="92">
        <f t="shared" si="3"/>
        <v>3</v>
      </c>
      <c r="I65" s="6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7.399999999999999" x14ac:dyDescent="0.25">
      <c r="A66" s="1"/>
      <c r="B66" s="68" t="s">
        <v>116</v>
      </c>
      <c r="C66" s="71" t="s">
        <v>113</v>
      </c>
      <c r="D66" s="3" t="s">
        <v>16</v>
      </c>
      <c r="E66" s="90" t="s">
        <v>147</v>
      </c>
      <c r="F66" s="66">
        <v>46140</v>
      </c>
      <c r="G66" s="66">
        <v>46140</v>
      </c>
      <c r="H66" s="92">
        <f t="shared" si="3"/>
        <v>1</v>
      </c>
      <c r="I66" s="6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ht="17.399999999999999" x14ac:dyDescent="0.25">
      <c r="A67" s="1"/>
      <c r="B67" s="68" t="s">
        <v>117</v>
      </c>
      <c r="C67" s="71" t="s">
        <v>114</v>
      </c>
      <c r="D67" s="3" t="s">
        <v>16</v>
      </c>
      <c r="E67" s="87" t="s">
        <v>148</v>
      </c>
      <c r="F67" s="66">
        <v>46141</v>
      </c>
      <c r="G67" s="66">
        <v>46141</v>
      </c>
      <c r="H67" s="92">
        <f t="shared" si="3"/>
        <v>1</v>
      </c>
      <c r="I67" s="6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ht="17.399999999999999" x14ac:dyDescent="0.25">
      <c r="A68" s="1"/>
      <c r="B68" s="68" t="s">
        <v>118</v>
      </c>
      <c r="C68" s="71" t="s">
        <v>115</v>
      </c>
      <c r="D68" s="3" t="s">
        <v>16</v>
      </c>
      <c r="E68" s="90" t="s">
        <v>147</v>
      </c>
      <c r="F68" s="66">
        <v>46142</v>
      </c>
      <c r="G68" s="66">
        <v>46142</v>
      </c>
      <c r="H68" s="92">
        <f t="shared" si="3"/>
        <v>1</v>
      </c>
      <c r="I68" s="6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ht="17.399999999999999" x14ac:dyDescent="0.25">
      <c r="A69" s="1"/>
      <c r="B69" s="68">
        <v>5.3</v>
      </c>
      <c r="C69" s="71" t="s">
        <v>140</v>
      </c>
      <c r="D69" s="3" t="s">
        <v>17</v>
      </c>
      <c r="E69" s="87"/>
      <c r="F69" s="66">
        <v>46143</v>
      </c>
      <c r="G69" s="56">
        <v>46145</v>
      </c>
      <c r="H69" s="92">
        <f t="shared" si="3"/>
        <v>3</v>
      </c>
      <c r="I69" s="6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ht="15" x14ac:dyDescent="0.25">
      <c r="A70" s="1"/>
      <c r="B70" s="68" t="s">
        <v>122</v>
      </c>
      <c r="C70" s="71" t="s">
        <v>144</v>
      </c>
      <c r="D70" s="3" t="s">
        <v>17</v>
      </c>
      <c r="E70" s="65"/>
      <c r="F70" s="66">
        <v>46143</v>
      </c>
      <c r="G70" s="66">
        <v>46143</v>
      </c>
      <c r="H70" s="92">
        <f t="shared" si="3"/>
        <v>1</v>
      </c>
      <c r="I70" s="6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ht="17.399999999999999" x14ac:dyDescent="0.25">
      <c r="A71" s="1"/>
      <c r="B71" s="68" t="s">
        <v>123</v>
      </c>
      <c r="C71" s="71" t="s">
        <v>120</v>
      </c>
      <c r="D71" s="3" t="s">
        <v>17</v>
      </c>
      <c r="E71" s="87"/>
      <c r="F71" s="66">
        <v>46144</v>
      </c>
      <c r="G71" s="66">
        <v>46144</v>
      </c>
      <c r="H71" s="92">
        <f t="shared" si="3"/>
        <v>1</v>
      </c>
      <c r="I71" s="6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ht="15" x14ac:dyDescent="0.25">
      <c r="A72" s="1"/>
      <c r="B72" s="68" t="s">
        <v>124</v>
      </c>
      <c r="C72" s="71" t="s">
        <v>121</v>
      </c>
      <c r="D72" s="3" t="s">
        <v>17</v>
      </c>
      <c r="E72" s="65"/>
      <c r="F72" s="66">
        <v>46145</v>
      </c>
      <c r="G72" s="66">
        <v>46145</v>
      </c>
      <c r="H72" s="92">
        <f t="shared" si="3"/>
        <v>1</v>
      </c>
      <c r="I72" s="6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ht="15" x14ac:dyDescent="0.25">
      <c r="A73" s="1"/>
      <c r="B73" s="80">
        <v>6</v>
      </c>
      <c r="C73" s="80" t="s">
        <v>125</v>
      </c>
      <c r="D73" s="81"/>
      <c r="E73" s="82"/>
      <c r="F73" s="83">
        <v>46146</v>
      </c>
      <c r="G73" s="84">
        <v>46150</v>
      </c>
      <c r="H73" s="85">
        <f t="shared" ref="H73:H83" si="4">IF(F73=0,0,G73-F73)+1</f>
        <v>5</v>
      </c>
      <c r="I73" s="8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ht="13.8" x14ac:dyDescent="0.25">
      <c r="A74" s="1"/>
      <c r="B74" s="68">
        <v>6.1</v>
      </c>
      <c r="C74" s="71" t="s">
        <v>141</v>
      </c>
      <c r="D74" s="3" t="s">
        <v>17</v>
      </c>
      <c r="E74" s="65"/>
      <c r="F74" s="66">
        <v>46146</v>
      </c>
      <c r="G74" s="56">
        <v>46147</v>
      </c>
      <c r="H74" s="72">
        <f t="shared" si="4"/>
        <v>2</v>
      </c>
      <c r="I74" s="6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ht="13.8" x14ac:dyDescent="0.25">
      <c r="A75" s="1"/>
      <c r="B75" s="68" t="s">
        <v>133</v>
      </c>
      <c r="C75" s="71" t="s">
        <v>126</v>
      </c>
      <c r="D75" s="3" t="s">
        <v>17</v>
      </c>
      <c r="E75" s="65"/>
      <c r="F75" s="66">
        <v>46146</v>
      </c>
      <c r="G75" s="66">
        <v>46146</v>
      </c>
      <c r="H75" s="72">
        <f t="shared" si="4"/>
        <v>1</v>
      </c>
      <c r="I75" s="6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ht="13.8" x14ac:dyDescent="0.25">
      <c r="A76" s="1"/>
      <c r="B76" s="68" t="s">
        <v>136</v>
      </c>
      <c r="C76" s="71" t="s">
        <v>127</v>
      </c>
      <c r="D76" s="3" t="s">
        <v>17</v>
      </c>
      <c r="E76" s="65"/>
      <c r="F76" s="66">
        <v>46147</v>
      </c>
      <c r="G76" s="66">
        <v>46147</v>
      </c>
      <c r="H76" s="72">
        <f t="shared" si="4"/>
        <v>1</v>
      </c>
      <c r="I76" s="6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ht="13.8" x14ac:dyDescent="0.25">
      <c r="A77" s="1"/>
      <c r="B77" s="68">
        <v>6.2</v>
      </c>
      <c r="C77" s="71" t="s">
        <v>142</v>
      </c>
      <c r="D77" s="3" t="s">
        <v>17</v>
      </c>
      <c r="E77" s="65"/>
      <c r="F77" s="66">
        <v>46148</v>
      </c>
      <c r="G77" s="56">
        <v>46149</v>
      </c>
      <c r="H77" s="72">
        <f t="shared" si="4"/>
        <v>2</v>
      </c>
      <c r="I77" s="6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ht="13.8" x14ac:dyDescent="0.25">
      <c r="A78" s="1"/>
      <c r="B78" s="68" t="s">
        <v>134</v>
      </c>
      <c r="C78" s="71" t="s">
        <v>128</v>
      </c>
      <c r="D78" s="3" t="s">
        <v>17</v>
      </c>
      <c r="E78" s="65"/>
      <c r="F78" s="66">
        <v>46148</v>
      </c>
      <c r="G78" s="66">
        <v>46148</v>
      </c>
      <c r="H78" s="72">
        <f t="shared" si="4"/>
        <v>1</v>
      </c>
      <c r="I78" s="6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ht="13.8" x14ac:dyDescent="0.25">
      <c r="A79" s="1"/>
      <c r="B79" s="68" t="s">
        <v>137</v>
      </c>
      <c r="C79" s="71" t="s">
        <v>129</v>
      </c>
      <c r="D79" s="3" t="s">
        <v>17</v>
      </c>
      <c r="E79" s="65"/>
      <c r="F79" s="56">
        <v>46149</v>
      </c>
      <c r="G79" s="56">
        <v>46149</v>
      </c>
      <c r="H79" s="72">
        <f t="shared" si="4"/>
        <v>1</v>
      </c>
      <c r="I79" s="6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ht="13.8" x14ac:dyDescent="0.25">
      <c r="A80" s="1"/>
      <c r="B80" s="68" t="s">
        <v>138</v>
      </c>
      <c r="C80" s="71" t="s">
        <v>130</v>
      </c>
      <c r="D80" s="3" t="s">
        <v>17</v>
      </c>
      <c r="E80" s="65"/>
      <c r="F80" s="56">
        <v>46149</v>
      </c>
      <c r="G80" s="56">
        <v>46149</v>
      </c>
      <c r="H80" s="72">
        <f t="shared" si="4"/>
        <v>1</v>
      </c>
      <c r="I80" s="6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ht="13.8" x14ac:dyDescent="0.25">
      <c r="A81" s="1"/>
      <c r="B81" s="68">
        <v>6.3</v>
      </c>
      <c r="C81" s="71" t="s">
        <v>143</v>
      </c>
      <c r="D81" s="3" t="s">
        <v>17</v>
      </c>
      <c r="E81" s="65"/>
      <c r="F81" s="66">
        <v>46150</v>
      </c>
      <c r="G81" s="66">
        <v>46150</v>
      </c>
      <c r="H81" s="72">
        <f t="shared" si="4"/>
        <v>1</v>
      </c>
      <c r="I81" s="6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ht="13.8" x14ac:dyDescent="0.25">
      <c r="A82" s="1"/>
      <c r="B82" s="68" t="s">
        <v>135</v>
      </c>
      <c r="C82" s="71" t="s">
        <v>131</v>
      </c>
      <c r="D82" s="3" t="s">
        <v>17</v>
      </c>
      <c r="E82" s="65"/>
      <c r="F82" s="66">
        <v>46150</v>
      </c>
      <c r="G82" s="66">
        <v>46150</v>
      </c>
      <c r="H82" s="72">
        <f t="shared" si="4"/>
        <v>1</v>
      </c>
      <c r="I82" s="6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ht="13.8" x14ac:dyDescent="0.25">
      <c r="A83" s="1"/>
      <c r="B83" s="68" t="s">
        <v>139</v>
      </c>
      <c r="C83" s="71" t="s">
        <v>132</v>
      </c>
      <c r="D83" s="3" t="s">
        <v>17</v>
      </c>
      <c r="E83" s="65"/>
      <c r="F83" s="66">
        <v>46150</v>
      </c>
      <c r="G83" s="66">
        <v>46150</v>
      </c>
      <c r="H83" s="72">
        <f t="shared" si="4"/>
        <v>1</v>
      </c>
      <c r="I83" s="6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6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8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8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8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8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8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</row>
    <row r="390" spans="1:28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</row>
    <row r="391" spans="1:28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</row>
    <row r="392" spans="1:28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</row>
    <row r="393" spans="1:28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</row>
    <row r="394" spans="1:28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</row>
    <row r="395" spans="1:28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x14ac:dyDescent="0.25">
      <c r="B1079" s="1"/>
      <c r="C1079" s="1"/>
      <c r="D1079" s="1"/>
      <c r="E1079" s="1"/>
      <c r="F1079" s="1"/>
      <c r="G1079" s="1"/>
      <c r="H1079" s="1"/>
      <c r="I1079" s="1"/>
    </row>
    <row r="1080" spans="1:282" x14ac:dyDescent="0.25">
      <c r="B1080" s="1"/>
      <c r="C1080" s="1"/>
      <c r="D1080" s="1"/>
      <c r="E1080" s="1"/>
      <c r="F1080" s="1"/>
      <c r="G1080" s="1"/>
      <c r="H1080" s="1"/>
      <c r="I1080" s="1"/>
    </row>
    <row r="1081" spans="1:282" x14ac:dyDescent="0.25">
      <c r="B1081" s="1"/>
      <c r="C1081" s="1"/>
      <c r="D1081" s="1"/>
      <c r="E1081" s="1"/>
      <c r="F1081" s="1"/>
      <c r="G1081" s="1"/>
      <c r="H1081" s="1"/>
      <c r="I1081" s="1"/>
    </row>
    <row r="1082" spans="1:282" x14ac:dyDescent="0.25">
      <c r="B1082" s="1"/>
      <c r="C1082" s="1"/>
      <c r="D1082" s="1"/>
      <c r="E1082" s="1"/>
      <c r="F1082" s="1"/>
      <c r="G1082" s="1"/>
      <c r="H1082" s="1"/>
      <c r="I1082" s="1"/>
    </row>
    <row r="1083" spans="1:282" x14ac:dyDescent="0.25">
      <c r="B1083" s="1"/>
      <c r="C1083" s="1"/>
      <c r="D1083" s="1"/>
      <c r="E1083" s="1"/>
      <c r="F1083" s="1"/>
      <c r="G1083" s="1"/>
      <c r="H1083" s="1"/>
      <c r="I1083" s="1"/>
    </row>
    <row r="1084" spans="1:282" x14ac:dyDescent="0.25">
      <c r="B1084" s="1"/>
      <c r="C1084" s="1"/>
      <c r="D1084" s="1"/>
      <c r="E1084" s="1"/>
      <c r="F1084" s="1"/>
      <c r="G1084" s="1"/>
      <c r="H1084" s="1"/>
      <c r="I1084" s="1"/>
    </row>
    <row r="1085" spans="1:282" x14ac:dyDescent="0.25">
      <c r="B1085" s="1"/>
      <c r="C1085" s="1"/>
      <c r="D1085" s="1"/>
      <c r="E1085" s="1"/>
      <c r="F1085" s="1"/>
      <c r="G1085" s="1"/>
      <c r="H1085" s="1"/>
      <c r="I1085" s="1"/>
    </row>
    <row r="1086" spans="1:282" x14ac:dyDescent="0.25">
      <c r="B1086" s="1"/>
      <c r="C1086" s="1"/>
      <c r="D1086" s="1"/>
      <c r="E1086" s="1"/>
      <c r="F1086" s="1"/>
      <c r="G1086" s="1"/>
      <c r="H1086" s="1"/>
      <c r="I1086" s="1"/>
    </row>
    <row r="1087" spans="1:282" x14ac:dyDescent="0.25">
      <c r="B1087" s="1"/>
      <c r="C1087" s="1"/>
      <c r="D1087" s="1"/>
      <c r="E1087" s="1"/>
      <c r="F1087" s="1"/>
      <c r="G1087" s="1"/>
      <c r="H1087" s="1"/>
      <c r="I1087" s="1"/>
    </row>
    <row r="1088" spans="1:282" x14ac:dyDescent="0.25">
      <c r="B1088" s="1"/>
      <c r="C1088" s="1"/>
      <c r="D1088" s="1"/>
      <c r="E1088" s="1"/>
      <c r="F1088" s="1"/>
      <c r="G1088" s="1"/>
      <c r="H1088" s="1"/>
      <c r="I1088" s="1"/>
    </row>
    <row r="1089" spans="2:9" x14ac:dyDescent="0.25">
      <c r="B1089" s="1"/>
      <c r="C1089" s="1"/>
      <c r="D1089" s="1"/>
      <c r="E1089" s="1"/>
      <c r="F1089" s="1"/>
      <c r="G1089" s="1"/>
      <c r="H1089" s="1"/>
      <c r="I1089" s="1"/>
    </row>
    <row r="1090" spans="2:9" x14ac:dyDescent="0.25">
      <c r="B1090" s="1"/>
      <c r="C1090" s="1"/>
      <c r="D1090" s="1"/>
      <c r="E1090" s="1"/>
      <c r="F1090" s="1"/>
      <c r="G1090" s="1"/>
      <c r="H1090" s="1"/>
      <c r="I1090" s="1"/>
    </row>
    <row r="1091" spans="2:9" x14ac:dyDescent="0.25">
      <c r="B1091" s="1"/>
      <c r="C1091" s="1"/>
      <c r="D1091" s="1"/>
      <c r="E1091" s="1"/>
      <c r="F1091" s="1"/>
      <c r="G1091" s="1"/>
      <c r="H1091" s="1"/>
      <c r="I1091" s="1"/>
    </row>
    <row r="1092" spans="2:9" x14ac:dyDescent="0.25">
      <c r="B1092" s="1"/>
      <c r="C1092" s="1"/>
      <c r="D1092" s="1"/>
      <c r="E1092" s="1"/>
      <c r="F1092" s="1"/>
      <c r="G1092" s="1"/>
      <c r="H1092" s="1"/>
      <c r="I1092" s="1"/>
    </row>
    <row r="1093" spans="2:9" x14ac:dyDescent="0.25">
      <c r="B1093" s="1"/>
      <c r="C1093" s="1"/>
      <c r="D1093" s="1"/>
      <c r="E1093" s="1"/>
      <c r="F1093" s="1"/>
      <c r="G1093" s="1"/>
      <c r="H1093" s="1"/>
      <c r="I1093" s="1"/>
    </row>
    <row r="1094" spans="2:9" x14ac:dyDescent="0.25">
      <c r="B1094" s="1"/>
      <c r="C1094" s="1"/>
      <c r="D1094" s="1"/>
      <c r="E1094" s="1"/>
      <c r="F1094" s="1"/>
      <c r="G1094" s="1"/>
      <c r="H1094" s="1"/>
      <c r="I1094" s="1"/>
    </row>
    <row r="1095" spans="2:9" x14ac:dyDescent="0.25">
      <c r="B1095" s="1"/>
      <c r="C1095" s="1"/>
      <c r="D1095" s="1"/>
      <c r="E1095" s="1"/>
      <c r="F1095" s="1"/>
      <c r="G1095" s="1"/>
      <c r="H1095" s="1"/>
      <c r="I1095" s="1"/>
    </row>
    <row r="1096" spans="2:9" x14ac:dyDescent="0.25">
      <c r="B1096" s="1"/>
      <c r="C1096" s="1"/>
      <c r="D1096" s="1"/>
      <c r="E1096" s="1"/>
      <c r="F1096" s="1"/>
      <c r="G1096" s="1"/>
      <c r="H1096" s="1"/>
      <c r="I1096" s="1"/>
    </row>
    <row r="1097" spans="2:9" x14ac:dyDescent="0.25">
      <c r="B1097" s="1"/>
      <c r="C1097" s="1"/>
      <c r="D1097" s="1"/>
      <c r="E1097" s="1"/>
      <c r="F1097" s="1"/>
      <c r="G1097" s="1"/>
      <c r="H1097" s="1"/>
      <c r="I1097" s="1"/>
    </row>
    <row r="1098" spans="2:9" x14ac:dyDescent="0.25">
      <c r="B1098" s="1"/>
      <c r="C1098" s="1"/>
      <c r="D1098" s="1"/>
      <c r="E1098" s="1"/>
      <c r="F1098" s="1"/>
      <c r="G1098" s="1"/>
      <c r="H1098" s="1"/>
      <c r="I1098" s="1"/>
    </row>
    <row r="1099" spans="2:9" x14ac:dyDescent="0.25">
      <c r="B1099" s="1"/>
      <c r="C1099" s="1"/>
      <c r="D1099" s="1"/>
      <c r="E1099" s="1"/>
      <c r="F1099" s="1"/>
      <c r="G1099" s="1"/>
      <c r="H1099" s="1"/>
      <c r="I1099" s="1"/>
    </row>
    <row r="1100" spans="2:9" x14ac:dyDescent="0.25">
      <c r="B1100" s="1"/>
      <c r="C1100" s="1"/>
      <c r="D1100" s="1"/>
      <c r="E1100" s="1"/>
      <c r="F1100" s="1"/>
      <c r="G1100" s="1"/>
      <c r="H1100" s="1"/>
      <c r="I1100" s="1"/>
    </row>
    <row r="1101" spans="2:9" x14ac:dyDescent="0.25">
      <c r="B1101" s="1"/>
      <c r="C1101" s="1"/>
      <c r="D1101" s="1"/>
      <c r="E1101" s="1"/>
      <c r="F1101" s="1"/>
      <c r="G1101" s="1"/>
      <c r="H1101" s="1"/>
      <c r="I1101" s="1"/>
    </row>
    <row r="1102" spans="2:9" x14ac:dyDescent="0.25">
      <c r="B1102" s="1"/>
      <c r="C1102" s="1"/>
      <c r="D1102" s="1"/>
      <c r="E1102" s="1"/>
      <c r="F1102" s="1"/>
      <c r="G1102" s="1"/>
      <c r="H1102" s="1"/>
      <c r="I1102" s="1"/>
    </row>
    <row r="1103" spans="2:9" x14ac:dyDescent="0.25">
      <c r="B1103" s="1"/>
      <c r="C1103" s="1"/>
      <c r="D1103" s="1"/>
      <c r="E1103" s="1"/>
      <c r="F1103" s="1"/>
      <c r="G1103" s="1"/>
      <c r="H1103" s="1"/>
      <c r="I1103" s="1"/>
    </row>
    <row r="1104" spans="2:9" x14ac:dyDescent="0.25">
      <c r="B1104" s="1"/>
      <c r="C1104" s="1"/>
      <c r="D1104" s="1"/>
      <c r="E1104" s="1"/>
      <c r="F1104" s="1"/>
      <c r="G1104" s="1"/>
      <c r="H1104" s="1"/>
      <c r="I1104" s="1"/>
    </row>
    <row r="1105" spans="2:9" x14ac:dyDescent="0.25">
      <c r="B1105" s="1"/>
      <c r="C1105" s="1"/>
      <c r="D1105" s="1"/>
      <c r="E1105" s="1"/>
      <c r="F1105" s="1"/>
      <c r="G1105" s="1"/>
      <c r="H1105" s="1"/>
      <c r="I1105" s="1"/>
    </row>
    <row r="1106" spans="2:9" x14ac:dyDescent="0.25">
      <c r="B1106" s="1"/>
      <c r="C1106" s="1"/>
      <c r="D1106" s="1"/>
      <c r="E1106" s="1"/>
      <c r="F1106" s="1"/>
      <c r="G1106" s="1"/>
      <c r="H1106" s="1"/>
      <c r="I1106" s="1"/>
    </row>
    <row r="1107" spans="2:9" x14ac:dyDescent="0.25">
      <c r="B1107" s="1"/>
      <c r="C1107" s="1"/>
      <c r="D1107" s="1"/>
      <c r="E1107" s="1"/>
      <c r="F1107" s="1"/>
      <c r="G1107" s="1"/>
      <c r="H1107" s="1"/>
      <c r="I1107" s="1"/>
    </row>
    <row r="1108" spans="2:9" x14ac:dyDescent="0.25">
      <c r="B1108" s="1"/>
      <c r="C1108" s="1"/>
      <c r="D1108" s="1"/>
      <c r="E1108" s="1"/>
      <c r="F1108" s="1"/>
      <c r="G1108" s="1"/>
      <c r="H1108" s="1"/>
      <c r="I1108" s="1"/>
    </row>
    <row r="1109" spans="2:9" x14ac:dyDescent="0.25">
      <c r="B1109" s="1"/>
      <c r="C1109" s="1"/>
      <c r="D1109" s="1"/>
      <c r="E1109" s="1"/>
      <c r="F1109" s="1"/>
      <c r="G1109" s="1"/>
      <c r="H1109" s="1"/>
      <c r="I1109" s="1"/>
    </row>
    <row r="1110" spans="2:9" x14ac:dyDescent="0.25">
      <c r="B1110" s="1"/>
      <c r="C1110" s="1"/>
      <c r="D1110" s="1"/>
      <c r="E1110" s="1"/>
      <c r="F1110" s="1"/>
      <c r="G1110" s="1"/>
      <c r="H1110" s="1"/>
      <c r="I1110" s="1"/>
    </row>
    <row r="1111" spans="2:9" x14ac:dyDescent="0.25">
      <c r="B1111" s="1"/>
      <c r="C1111" s="1"/>
      <c r="D1111" s="1"/>
      <c r="E1111" s="1"/>
      <c r="F1111" s="1"/>
      <c r="G1111" s="1"/>
      <c r="H1111" s="1"/>
      <c r="I1111" s="1"/>
    </row>
    <row r="1112" spans="2:9" x14ac:dyDescent="0.25">
      <c r="B1112" s="1"/>
      <c r="C1112" s="1"/>
      <c r="D1112" s="1"/>
      <c r="E1112" s="1"/>
      <c r="F1112" s="1"/>
      <c r="G1112" s="1"/>
      <c r="H1112" s="1"/>
      <c r="I1112" s="1"/>
    </row>
    <row r="1113" spans="2:9" x14ac:dyDescent="0.25">
      <c r="B1113" s="1"/>
      <c r="C1113" s="1"/>
      <c r="D1113" s="1"/>
      <c r="E1113" s="1"/>
      <c r="F1113" s="1"/>
      <c r="G1113" s="1"/>
      <c r="H1113" s="1"/>
      <c r="I1113" s="1"/>
    </row>
    <row r="1114" spans="2:9" x14ac:dyDescent="0.25">
      <c r="B1114" s="1"/>
      <c r="C1114" s="1"/>
      <c r="D1114" s="1"/>
      <c r="E1114" s="1"/>
      <c r="F1114" s="1"/>
      <c r="G1114" s="1"/>
      <c r="H1114" s="1"/>
      <c r="I1114" s="1"/>
    </row>
    <row r="1115" spans="2:9" x14ac:dyDescent="0.25">
      <c r="B1115" s="1"/>
      <c r="C1115" s="1"/>
      <c r="D1115" s="1"/>
      <c r="E1115" s="1"/>
      <c r="F1115" s="1"/>
      <c r="G1115" s="1"/>
      <c r="H1115" s="1"/>
      <c r="I1115" s="1"/>
    </row>
    <row r="1116" spans="2:9" x14ac:dyDescent="0.25">
      <c r="B1116" s="1"/>
      <c r="C1116" s="1"/>
      <c r="D1116" s="1"/>
      <c r="E1116" s="1"/>
      <c r="F1116" s="1"/>
      <c r="G1116" s="1"/>
      <c r="H1116" s="1"/>
      <c r="I1116" s="1"/>
    </row>
    <row r="1117" spans="2:9" x14ac:dyDescent="0.25">
      <c r="B1117" s="1"/>
      <c r="C1117" s="1"/>
      <c r="D1117" s="1"/>
      <c r="E1117" s="1"/>
      <c r="F1117" s="1"/>
      <c r="G1117" s="1"/>
      <c r="H1117" s="1"/>
      <c r="I1117" s="1"/>
    </row>
    <row r="1118" spans="2:9" x14ac:dyDescent="0.25">
      <c r="B1118" s="1"/>
      <c r="C1118" s="1"/>
      <c r="D1118" s="1"/>
      <c r="E1118" s="1"/>
      <c r="F1118" s="1"/>
      <c r="G1118" s="1"/>
      <c r="H1118" s="1"/>
      <c r="I1118" s="1"/>
    </row>
    <row r="1119" spans="2:9" x14ac:dyDescent="0.25">
      <c r="B1119" s="1"/>
      <c r="C1119" s="1"/>
      <c r="D1119" s="1"/>
      <c r="E1119" s="1"/>
      <c r="F1119" s="1"/>
      <c r="G1119" s="1"/>
      <c r="H1119" s="1"/>
      <c r="I1119" s="1"/>
    </row>
    <row r="1120" spans="2:9" x14ac:dyDescent="0.25">
      <c r="B1120" s="1"/>
      <c r="C1120" s="1"/>
      <c r="D1120" s="1"/>
      <c r="E1120" s="1"/>
      <c r="F1120" s="1"/>
      <c r="G1120" s="1"/>
      <c r="H1120" s="1"/>
      <c r="I1120" s="1"/>
    </row>
    <row r="1121" spans="2:9" x14ac:dyDescent="0.25">
      <c r="B1121" s="1"/>
      <c r="C1121" s="1"/>
      <c r="D1121" s="1"/>
      <c r="E1121" s="1"/>
      <c r="F1121" s="1"/>
      <c r="G1121" s="1"/>
      <c r="H1121" s="1"/>
      <c r="I1121" s="1"/>
    </row>
    <row r="1122" spans="2:9" x14ac:dyDescent="0.25">
      <c r="B1122" s="1"/>
      <c r="C1122" s="1"/>
      <c r="D1122" s="1"/>
      <c r="E1122" s="1"/>
      <c r="F1122" s="1"/>
      <c r="G1122" s="1"/>
      <c r="H1122" s="1"/>
      <c r="I1122" s="1"/>
    </row>
    <row r="1123" spans="2:9" x14ac:dyDescent="0.25">
      <c r="B1123" s="1"/>
      <c r="C1123" s="1"/>
      <c r="D1123" s="1"/>
      <c r="E1123" s="1"/>
      <c r="F1123" s="1"/>
      <c r="G1123" s="1"/>
      <c r="H1123" s="1"/>
      <c r="I1123" s="1"/>
    </row>
    <row r="1124" spans="2:9" x14ac:dyDescent="0.25">
      <c r="B1124" s="1"/>
      <c r="C1124" s="1"/>
      <c r="D1124" s="1"/>
      <c r="E1124" s="1"/>
      <c r="F1124" s="1"/>
      <c r="G1124" s="1"/>
      <c r="H1124" s="1"/>
      <c r="I1124" s="1"/>
    </row>
    <row r="1125" spans="2:9" x14ac:dyDescent="0.25">
      <c r="B1125" s="1"/>
      <c r="C1125" s="1"/>
      <c r="D1125" s="1"/>
      <c r="E1125" s="1"/>
      <c r="F1125" s="1"/>
      <c r="G1125" s="1"/>
      <c r="H1125" s="1"/>
      <c r="I1125" s="1"/>
    </row>
    <row r="1126" spans="2:9" x14ac:dyDescent="0.25">
      <c r="B1126" s="1"/>
      <c r="C1126" s="1"/>
      <c r="D1126" s="1"/>
      <c r="E1126" s="1"/>
      <c r="F1126" s="1"/>
      <c r="G1126" s="1"/>
      <c r="H1126" s="1"/>
      <c r="I1126" s="1"/>
    </row>
    <row r="1127" spans="2:9" x14ac:dyDescent="0.25">
      <c r="B1127" s="1"/>
      <c r="C1127" s="1"/>
      <c r="D1127" s="1"/>
      <c r="E1127" s="1"/>
      <c r="F1127" s="1"/>
      <c r="G1127" s="1"/>
      <c r="H1127" s="1"/>
      <c r="I1127" s="1"/>
    </row>
    <row r="1128" spans="2:9" x14ac:dyDescent="0.25">
      <c r="B1128" s="1"/>
      <c r="C1128" s="1"/>
      <c r="D1128" s="1"/>
      <c r="E1128" s="1"/>
      <c r="F1128" s="1"/>
      <c r="G1128" s="1"/>
      <c r="H1128" s="1"/>
      <c r="I1128" s="1"/>
    </row>
    <row r="1129" spans="2:9" x14ac:dyDescent="0.25">
      <c r="B1129" s="1"/>
      <c r="C1129" s="1"/>
      <c r="D1129" s="1"/>
      <c r="E1129" s="1"/>
      <c r="F1129" s="1"/>
      <c r="G1129" s="1"/>
      <c r="H1129" s="1"/>
      <c r="I1129" s="1"/>
    </row>
  </sheetData>
  <phoneticPr fontId="3" type="noConversion"/>
  <conditionalFormatting sqref="D8:D20">
    <cfRule type="containsText" dxfId="35" priority="21" operator="containsText" text="On Hold">
      <formula>NOT(ISERROR(SEARCH("On Hold",D8)))</formula>
    </cfRule>
    <cfRule type="containsText" dxfId="34" priority="22" operator="containsText" text="Complete">
      <formula>NOT(ISERROR(SEARCH("Complete",D8)))</formula>
    </cfRule>
    <cfRule type="containsText" dxfId="33" priority="23" operator="containsText" text="In Progress">
      <formula>NOT(ISERROR(SEARCH("In Progress",D8)))</formula>
    </cfRule>
    <cfRule type="containsText" dxfId="32" priority="24" operator="containsText" text="Not Started">
      <formula>NOT(ISERROR(SEARCH("Not Started",D8)))</formula>
    </cfRule>
  </conditionalFormatting>
  <conditionalFormatting sqref="D9:D16">
    <cfRule type="cellIs" dxfId="31" priority="19" operator="equal">
      <formula>"No Iniciado"</formula>
    </cfRule>
    <cfRule type="cellIs" dxfId="30" priority="17" operator="equal">
      <formula>"En Espera"</formula>
    </cfRule>
    <cfRule type="cellIs" dxfId="29" priority="18" operator="equal">
      <formula>"En Progreso"</formula>
    </cfRule>
    <cfRule type="cellIs" dxfId="28" priority="20" operator="equal">
      <formula>"Completo"</formula>
    </cfRule>
  </conditionalFormatting>
  <conditionalFormatting sqref="D18:D29">
    <cfRule type="cellIs" dxfId="27" priority="9" operator="equal">
      <formula>"En Espera"</formula>
    </cfRule>
    <cfRule type="cellIs" dxfId="26" priority="10" operator="equal">
      <formula>"En Progreso"</formula>
    </cfRule>
    <cfRule type="cellIs" dxfId="25" priority="11" operator="equal">
      <formula>"No Iniciado"</formula>
    </cfRule>
    <cfRule type="cellIs" dxfId="24" priority="12" operator="equal">
      <formula>"Completo"</formula>
    </cfRule>
  </conditionalFormatting>
  <conditionalFormatting sqref="D21">
    <cfRule type="containsText" dxfId="23" priority="16" operator="containsText" text="Not Started">
      <formula>NOT(ISERROR(SEARCH("Not Started",D21)))</formula>
    </cfRule>
    <cfRule type="containsText" dxfId="22" priority="13" operator="containsText" text="On Hold">
      <formula>NOT(ISERROR(SEARCH("On Hold",D21)))</formula>
    </cfRule>
    <cfRule type="containsText" dxfId="21" priority="14" operator="containsText" text="Complete">
      <formula>NOT(ISERROR(SEARCH("Complete",D21)))</formula>
    </cfRule>
    <cfRule type="containsText" dxfId="20" priority="15" operator="containsText" text="In Progress">
      <formula>NOT(ISERROR(SEARCH("In Progress",D21)))</formula>
    </cfRule>
  </conditionalFormatting>
  <conditionalFormatting sqref="D22:D59 D61:D72 D74:D83">
    <cfRule type="containsText" dxfId="19" priority="49" operator="containsText" text="On Hold">
      <formula>NOT(ISERROR(SEARCH("On Hold",D22)))</formula>
    </cfRule>
    <cfRule type="containsText" dxfId="18" priority="50" operator="containsText" text="Complete">
      <formula>NOT(ISERROR(SEARCH("Complete",D22)))</formula>
    </cfRule>
    <cfRule type="containsText" dxfId="17" priority="51" operator="containsText" text="In Progress">
      <formula>NOT(ISERROR(SEARCH("In Progress",D22)))</formula>
    </cfRule>
    <cfRule type="containsText" dxfId="16" priority="52" operator="containsText" text="Not Started">
      <formula>NOT(ISERROR(SEARCH("Not Started",D22)))</formula>
    </cfRule>
  </conditionalFormatting>
  <conditionalFormatting sqref="D31:D46 D48:D59 D61:D72 D74:D83">
    <cfRule type="cellIs" dxfId="15" priority="45" operator="equal">
      <formula>"En Espera"</formula>
    </cfRule>
    <cfRule type="cellIs" dxfId="14" priority="46" operator="equal">
      <formula>"En Progreso"</formula>
    </cfRule>
    <cfRule type="cellIs" dxfId="13" priority="47" operator="equal">
      <formula>"No Iniciado"</formula>
    </cfRule>
    <cfRule type="cellIs" dxfId="12" priority="48" operator="equal">
      <formula>"Completo"</formula>
    </cfRule>
  </conditionalFormatting>
  <conditionalFormatting sqref="D60">
    <cfRule type="containsText" dxfId="11" priority="5" operator="containsText" text="On Hold">
      <formula>NOT(ISERROR(SEARCH("On Hold",D60)))</formula>
    </cfRule>
    <cfRule type="containsText" dxfId="10" priority="6" operator="containsText" text="Complete">
      <formula>NOT(ISERROR(SEARCH("Complete",D60)))</formula>
    </cfRule>
    <cfRule type="containsText" dxfId="9" priority="7" operator="containsText" text="In Progress">
      <formula>NOT(ISERROR(SEARCH("In Progress",D60)))</formula>
    </cfRule>
    <cfRule type="containsText" dxfId="8" priority="8" operator="containsText" text="Not Started">
      <formula>NOT(ISERROR(SEARCH("Not Started",D60)))</formula>
    </cfRule>
  </conditionalFormatting>
  <conditionalFormatting sqref="D73">
    <cfRule type="containsText" dxfId="7" priority="3" operator="containsText" text="In Progress">
      <formula>NOT(ISERROR(SEARCH("In Progress",D73)))</formula>
    </cfRule>
    <cfRule type="containsText" dxfId="6" priority="4" operator="containsText" text="Not Started">
      <formula>NOT(ISERROR(SEARCH("Not Started",D73)))</formula>
    </cfRule>
    <cfRule type="containsText" dxfId="5" priority="1" operator="containsText" text="On Hold">
      <formula>NOT(ISERROR(SEARCH("On Hold",D73)))</formula>
    </cfRule>
    <cfRule type="containsText" dxfId="4" priority="2" operator="containsText" text="Complete">
      <formula>NOT(ISERROR(SEARCH("Complete",D73)))</formula>
    </cfRule>
  </conditionalFormatting>
  <conditionalFormatting sqref="K8:K11">
    <cfRule type="containsText" dxfId="3" priority="61" stopIfTrue="1" operator="containsText" text="On Hold">
      <formula>NOT(ISERROR(SEARCH("On Hold",K8)))</formula>
    </cfRule>
    <cfRule type="containsText" dxfId="2" priority="62" operator="containsText" text="Complete">
      <formula>NOT(ISERROR(SEARCH("Complete",K8)))</formula>
    </cfRule>
    <cfRule type="containsText" dxfId="1" priority="63" operator="containsText" text="In Progress">
      <formula>NOT(ISERROR(SEARCH("In Progress",K8)))</formula>
    </cfRule>
    <cfRule type="containsText" dxfId="0" priority="64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83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89EA-CA12-479E-8EE6-23F99B21680B}">
  <dimension ref="A1:D77"/>
  <sheetViews>
    <sheetView topLeftCell="A68" zoomScale="85" zoomScaleNormal="85" workbookViewId="0">
      <selection activeCell="D85" sqref="D85"/>
    </sheetView>
  </sheetViews>
  <sheetFormatPr baseColWidth="10" defaultRowHeight="15.6" x14ac:dyDescent="0.3"/>
  <cols>
    <col min="2" max="3" width="13" bestFit="1" customWidth="1"/>
  </cols>
  <sheetData>
    <row r="1" spans="1:4" ht="42" thickBot="1" x14ac:dyDescent="0.35">
      <c r="A1" s="37" t="s">
        <v>2</v>
      </c>
      <c r="B1" s="40" t="s">
        <v>5</v>
      </c>
      <c r="C1" s="41" t="s">
        <v>6</v>
      </c>
      <c r="D1" s="37" t="s">
        <v>7</v>
      </c>
    </row>
    <row r="2" spans="1:4" x14ac:dyDescent="0.3">
      <c r="A2" s="62" t="s">
        <v>21</v>
      </c>
      <c r="B2" s="94">
        <v>46060</v>
      </c>
      <c r="C2" s="95">
        <v>46080</v>
      </c>
      <c r="D2" s="43">
        <f t="shared" ref="D2:D33" si="0">IF(B2=0,0,C2-B2)+1</f>
        <v>21</v>
      </c>
    </row>
    <row r="3" spans="1:4" ht="69" x14ac:dyDescent="0.3">
      <c r="A3" s="69" t="s">
        <v>25</v>
      </c>
      <c r="B3" s="96">
        <v>46060</v>
      </c>
      <c r="C3" s="96">
        <v>46069</v>
      </c>
      <c r="D3" s="49">
        <f t="shared" si="0"/>
        <v>10</v>
      </c>
    </row>
    <row r="4" spans="1:4" ht="55.2" x14ac:dyDescent="0.3">
      <c r="A4" s="69" t="s">
        <v>27</v>
      </c>
      <c r="B4" s="96">
        <v>46060</v>
      </c>
      <c r="C4" s="96">
        <v>46061</v>
      </c>
      <c r="D4" s="49">
        <f t="shared" si="0"/>
        <v>2</v>
      </c>
    </row>
    <row r="5" spans="1:4" ht="41.4" x14ac:dyDescent="0.3">
      <c r="A5" s="69" t="s">
        <v>29</v>
      </c>
      <c r="B5" s="96">
        <v>46062</v>
      </c>
      <c r="C5" s="96">
        <v>46064</v>
      </c>
      <c r="D5" s="49">
        <f t="shared" si="0"/>
        <v>3</v>
      </c>
    </row>
    <row r="6" spans="1:4" ht="41.4" x14ac:dyDescent="0.3">
      <c r="A6" s="69" t="s">
        <v>31</v>
      </c>
      <c r="B6" s="96">
        <v>46065</v>
      </c>
      <c r="C6" s="96">
        <v>46069</v>
      </c>
      <c r="D6" s="49">
        <f t="shared" si="0"/>
        <v>5</v>
      </c>
    </row>
    <row r="7" spans="1:4" ht="69" x14ac:dyDescent="0.3">
      <c r="A7" s="69" t="s">
        <v>26</v>
      </c>
      <c r="B7" s="96">
        <v>46070</v>
      </c>
      <c r="C7" s="96">
        <v>46080</v>
      </c>
      <c r="D7" s="49">
        <f t="shared" si="0"/>
        <v>11</v>
      </c>
    </row>
    <row r="8" spans="1:4" ht="55.2" x14ac:dyDescent="0.3">
      <c r="A8" s="69" t="s">
        <v>32</v>
      </c>
      <c r="B8" s="96">
        <v>46070</v>
      </c>
      <c r="C8" s="96">
        <v>46073</v>
      </c>
      <c r="D8" s="49">
        <f t="shared" si="0"/>
        <v>4</v>
      </c>
    </row>
    <row r="9" spans="1:4" ht="55.2" x14ac:dyDescent="0.3">
      <c r="A9" s="69" t="s">
        <v>33</v>
      </c>
      <c r="B9" s="96">
        <v>46074</v>
      </c>
      <c r="C9" s="96">
        <v>46076</v>
      </c>
      <c r="D9" s="49">
        <f t="shared" si="0"/>
        <v>3</v>
      </c>
    </row>
    <row r="10" spans="1:4" ht="41.4" x14ac:dyDescent="0.3">
      <c r="A10" s="69" t="s">
        <v>34</v>
      </c>
      <c r="B10" s="96">
        <v>46077</v>
      </c>
      <c r="C10" s="91">
        <v>46080</v>
      </c>
      <c r="D10" s="49">
        <f t="shared" si="0"/>
        <v>4</v>
      </c>
    </row>
    <row r="11" spans="1:4" ht="30" x14ac:dyDescent="0.3">
      <c r="A11" s="15" t="s">
        <v>22</v>
      </c>
      <c r="B11" s="97">
        <v>46081</v>
      </c>
      <c r="C11" s="98">
        <v>46101</v>
      </c>
      <c r="D11" s="22">
        <f t="shared" si="0"/>
        <v>21</v>
      </c>
    </row>
    <row r="12" spans="1:4" ht="69" x14ac:dyDescent="0.3">
      <c r="A12" s="69" t="s">
        <v>38</v>
      </c>
      <c r="B12" s="96">
        <v>46081</v>
      </c>
      <c r="C12" s="91">
        <v>46087</v>
      </c>
      <c r="D12" s="50">
        <f t="shared" si="0"/>
        <v>7</v>
      </c>
    </row>
    <row r="13" spans="1:4" ht="41.4" x14ac:dyDescent="0.3">
      <c r="A13" s="69" t="s">
        <v>39</v>
      </c>
      <c r="B13" s="96">
        <v>46081</v>
      </c>
      <c r="C13" s="91">
        <v>46082</v>
      </c>
      <c r="D13" s="50">
        <f t="shared" si="0"/>
        <v>2</v>
      </c>
    </row>
    <row r="14" spans="1:4" ht="55.2" x14ac:dyDescent="0.3">
      <c r="A14" s="69" t="s">
        <v>40</v>
      </c>
      <c r="B14" s="96">
        <v>46083</v>
      </c>
      <c r="C14" s="91">
        <v>46084</v>
      </c>
      <c r="D14" s="50">
        <f t="shared" si="0"/>
        <v>2</v>
      </c>
    </row>
    <row r="15" spans="1:4" ht="42" thickBot="1" x14ac:dyDescent="0.35">
      <c r="A15" s="70" t="s">
        <v>41</v>
      </c>
      <c r="B15" s="99">
        <v>46085</v>
      </c>
      <c r="C15" s="100">
        <v>46087</v>
      </c>
      <c r="D15" s="51">
        <f t="shared" si="0"/>
        <v>3</v>
      </c>
    </row>
    <row r="16" spans="1:4" ht="27.6" x14ac:dyDescent="0.3">
      <c r="A16" s="71" t="s">
        <v>45</v>
      </c>
      <c r="B16" s="101">
        <v>46088</v>
      </c>
      <c r="C16" s="102">
        <v>46094</v>
      </c>
      <c r="D16" s="67">
        <f t="shared" si="0"/>
        <v>7</v>
      </c>
    </row>
    <row r="17" spans="1:4" ht="41.4" x14ac:dyDescent="0.3">
      <c r="A17" s="71" t="s">
        <v>46</v>
      </c>
      <c r="B17" s="101">
        <v>46088</v>
      </c>
      <c r="C17" s="102">
        <v>46089</v>
      </c>
      <c r="D17" s="67">
        <f t="shared" si="0"/>
        <v>2</v>
      </c>
    </row>
    <row r="18" spans="1:4" ht="55.2" x14ac:dyDescent="0.3">
      <c r="A18" s="71" t="s">
        <v>47</v>
      </c>
      <c r="B18" s="101">
        <v>46090</v>
      </c>
      <c r="C18" s="102">
        <v>46092</v>
      </c>
      <c r="D18" s="67">
        <f t="shared" si="0"/>
        <v>3</v>
      </c>
    </row>
    <row r="19" spans="1:4" ht="55.2" x14ac:dyDescent="0.3">
      <c r="A19" s="71" t="s">
        <v>48</v>
      </c>
      <c r="B19" s="101">
        <v>46093</v>
      </c>
      <c r="C19" s="102">
        <v>46094</v>
      </c>
      <c r="D19" s="67">
        <f t="shared" si="0"/>
        <v>2</v>
      </c>
    </row>
    <row r="20" spans="1:4" ht="55.2" x14ac:dyDescent="0.3">
      <c r="A20" s="71" t="s">
        <v>49</v>
      </c>
      <c r="B20" s="101">
        <v>46095</v>
      </c>
      <c r="C20" s="102">
        <v>46101</v>
      </c>
      <c r="D20" s="67">
        <f t="shared" si="0"/>
        <v>7</v>
      </c>
    </row>
    <row r="21" spans="1:4" ht="55.2" x14ac:dyDescent="0.3">
      <c r="A21" s="71" t="s">
        <v>50</v>
      </c>
      <c r="B21" s="101">
        <v>46095</v>
      </c>
      <c r="C21" s="102">
        <v>46096</v>
      </c>
      <c r="D21" s="67">
        <f t="shared" si="0"/>
        <v>2</v>
      </c>
    </row>
    <row r="22" spans="1:4" ht="55.2" x14ac:dyDescent="0.3">
      <c r="A22" s="71" t="s">
        <v>51</v>
      </c>
      <c r="B22" s="101">
        <v>46097</v>
      </c>
      <c r="C22" s="102">
        <v>46098</v>
      </c>
      <c r="D22" s="67">
        <f t="shared" si="0"/>
        <v>2</v>
      </c>
    </row>
    <row r="23" spans="1:4" ht="42" thickBot="1" x14ac:dyDescent="0.35">
      <c r="A23" s="70" t="s">
        <v>52</v>
      </c>
      <c r="B23" s="99">
        <v>46099</v>
      </c>
      <c r="C23" s="100">
        <v>46100</v>
      </c>
      <c r="D23" s="51">
        <f t="shared" si="0"/>
        <v>2</v>
      </c>
    </row>
    <row r="24" spans="1:4" ht="75" x14ac:dyDescent="0.3">
      <c r="A24" s="16" t="s">
        <v>23</v>
      </c>
      <c r="B24" s="103">
        <v>46102</v>
      </c>
      <c r="C24" s="104">
        <v>46122</v>
      </c>
      <c r="D24" s="27">
        <f t="shared" si="0"/>
        <v>21</v>
      </c>
    </row>
    <row r="25" spans="1:4" ht="27.6" x14ac:dyDescent="0.3">
      <c r="A25" s="69" t="s">
        <v>56</v>
      </c>
      <c r="B25" s="96">
        <v>46102</v>
      </c>
      <c r="C25" s="91">
        <v>46106</v>
      </c>
      <c r="D25" s="52">
        <f t="shared" si="0"/>
        <v>5</v>
      </c>
    </row>
    <row r="26" spans="1:4" ht="41.4" x14ac:dyDescent="0.3">
      <c r="A26" s="69" t="s">
        <v>57</v>
      </c>
      <c r="B26" s="96">
        <v>46102</v>
      </c>
      <c r="C26" s="91">
        <v>46103</v>
      </c>
      <c r="D26" s="52">
        <f t="shared" si="0"/>
        <v>2</v>
      </c>
    </row>
    <row r="27" spans="1:4" ht="41.4" x14ac:dyDescent="0.3">
      <c r="A27" s="69" t="s">
        <v>58</v>
      </c>
      <c r="B27" s="96">
        <v>46104</v>
      </c>
      <c r="C27" s="91">
        <v>46105</v>
      </c>
      <c r="D27" s="52">
        <f t="shared" si="0"/>
        <v>2</v>
      </c>
    </row>
    <row r="28" spans="1:4" ht="41.4" x14ac:dyDescent="0.3">
      <c r="A28" s="69" t="s">
        <v>59</v>
      </c>
      <c r="B28" s="96">
        <v>46106</v>
      </c>
      <c r="C28" s="91">
        <v>46106</v>
      </c>
      <c r="D28" s="52">
        <f t="shared" si="0"/>
        <v>1</v>
      </c>
    </row>
    <row r="29" spans="1:4" ht="41.4" x14ac:dyDescent="0.3">
      <c r="A29" s="69" t="s">
        <v>63</v>
      </c>
      <c r="B29" s="96">
        <v>46107</v>
      </c>
      <c r="C29" s="91">
        <v>46112</v>
      </c>
      <c r="D29" s="52">
        <f t="shared" si="0"/>
        <v>6</v>
      </c>
    </row>
    <row r="30" spans="1:4" ht="41.4" x14ac:dyDescent="0.3">
      <c r="A30" s="69" t="s">
        <v>64</v>
      </c>
      <c r="B30" s="96">
        <v>46107</v>
      </c>
      <c r="C30" s="96">
        <v>46108</v>
      </c>
      <c r="D30" s="52">
        <f t="shared" si="0"/>
        <v>2</v>
      </c>
    </row>
    <row r="31" spans="1:4" ht="41.4" x14ac:dyDescent="0.3">
      <c r="A31" s="69" t="s">
        <v>65</v>
      </c>
      <c r="B31" s="96">
        <v>46109</v>
      </c>
      <c r="C31" s="91">
        <v>46110</v>
      </c>
      <c r="D31" s="52">
        <f t="shared" si="0"/>
        <v>2</v>
      </c>
    </row>
    <row r="32" spans="1:4" ht="27.6" x14ac:dyDescent="0.3">
      <c r="A32" s="69" t="s">
        <v>66</v>
      </c>
      <c r="B32" s="96">
        <v>46111</v>
      </c>
      <c r="C32" s="91">
        <v>46112</v>
      </c>
      <c r="D32" s="52">
        <f t="shared" si="0"/>
        <v>2</v>
      </c>
    </row>
    <row r="33" spans="1:4" ht="41.4" x14ac:dyDescent="0.3">
      <c r="A33" s="69" t="s">
        <v>70</v>
      </c>
      <c r="B33" s="96">
        <v>46113</v>
      </c>
      <c r="C33" s="91">
        <v>46117</v>
      </c>
      <c r="D33" s="52">
        <f t="shared" si="0"/>
        <v>5</v>
      </c>
    </row>
    <row r="34" spans="1:4" ht="27.6" x14ac:dyDescent="0.3">
      <c r="A34" s="69" t="s">
        <v>71</v>
      </c>
      <c r="B34" s="96">
        <v>46113</v>
      </c>
      <c r="C34" s="91">
        <v>46114</v>
      </c>
      <c r="D34" s="52">
        <f t="shared" ref="D34:D65" si="1">IF(B34=0,0,C34-B34)+1</f>
        <v>2</v>
      </c>
    </row>
    <row r="35" spans="1:4" ht="41.4" x14ac:dyDescent="0.3">
      <c r="A35" s="69" t="s">
        <v>72</v>
      </c>
      <c r="B35" s="96">
        <v>46115</v>
      </c>
      <c r="C35" s="91">
        <v>46116</v>
      </c>
      <c r="D35" s="52">
        <f t="shared" si="1"/>
        <v>2</v>
      </c>
    </row>
    <row r="36" spans="1:4" ht="55.2" x14ac:dyDescent="0.3">
      <c r="A36" s="69" t="s">
        <v>73</v>
      </c>
      <c r="B36" s="96">
        <v>46117</v>
      </c>
      <c r="C36" s="96">
        <v>46117</v>
      </c>
      <c r="D36" s="52">
        <f t="shared" si="1"/>
        <v>1</v>
      </c>
    </row>
    <row r="37" spans="1:4" ht="55.2" x14ac:dyDescent="0.3">
      <c r="A37" s="69" t="s">
        <v>77</v>
      </c>
      <c r="B37" s="96">
        <v>46118</v>
      </c>
      <c r="C37" s="91">
        <v>46122</v>
      </c>
      <c r="D37" s="52">
        <f t="shared" si="1"/>
        <v>5</v>
      </c>
    </row>
    <row r="38" spans="1:4" ht="55.2" x14ac:dyDescent="0.3">
      <c r="A38" s="69" t="s">
        <v>78</v>
      </c>
      <c r="B38" s="96">
        <v>46118</v>
      </c>
      <c r="C38" s="96">
        <v>46118</v>
      </c>
      <c r="D38" s="52">
        <f t="shared" si="1"/>
        <v>1</v>
      </c>
    </row>
    <row r="39" spans="1:4" ht="28.2" thickBot="1" x14ac:dyDescent="0.35">
      <c r="A39" s="70" t="s">
        <v>79</v>
      </c>
      <c r="B39" s="96">
        <v>46119</v>
      </c>
      <c r="C39" s="91">
        <v>46120</v>
      </c>
      <c r="D39" s="52">
        <f t="shared" si="1"/>
        <v>2</v>
      </c>
    </row>
    <row r="40" spans="1:4" ht="42" thickBot="1" x14ac:dyDescent="0.35">
      <c r="A40" s="70" t="s">
        <v>80</v>
      </c>
      <c r="B40" s="99">
        <v>46121</v>
      </c>
      <c r="C40" s="100">
        <v>46122</v>
      </c>
      <c r="D40" s="53">
        <f t="shared" si="1"/>
        <v>2</v>
      </c>
    </row>
    <row r="41" spans="1:4" ht="75" x14ac:dyDescent="0.3">
      <c r="A41" s="17" t="s">
        <v>24</v>
      </c>
      <c r="B41" s="105">
        <v>46123</v>
      </c>
      <c r="C41" s="106">
        <v>46136</v>
      </c>
      <c r="D41" s="32">
        <f t="shared" si="1"/>
        <v>14</v>
      </c>
    </row>
    <row r="42" spans="1:4" ht="55.2" x14ac:dyDescent="0.3">
      <c r="A42" s="69" t="s">
        <v>84</v>
      </c>
      <c r="B42" s="96">
        <v>46123</v>
      </c>
      <c r="C42" s="91">
        <v>46126</v>
      </c>
      <c r="D42" s="54">
        <f t="shared" si="1"/>
        <v>4</v>
      </c>
    </row>
    <row r="43" spans="1:4" ht="41.4" x14ac:dyDescent="0.3">
      <c r="A43" s="69" t="s">
        <v>85</v>
      </c>
      <c r="B43" s="96">
        <v>46123</v>
      </c>
      <c r="C43" s="96">
        <v>46123</v>
      </c>
      <c r="D43" s="54">
        <f t="shared" si="1"/>
        <v>1</v>
      </c>
    </row>
    <row r="44" spans="1:4" ht="41.4" x14ac:dyDescent="0.3">
      <c r="A44" s="69" t="s">
        <v>86</v>
      </c>
      <c r="B44" s="96">
        <v>46124</v>
      </c>
      <c r="C44" s="96">
        <v>46124</v>
      </c>
      <c r="D44" s="54">
        <f t="shared" si="1"/>
        <v>1</v>
      </c>
    </row>
    <row r="45" spans="1:4" ht="55.2" x14ac:dyDescent="0.3">
      <c r="A45" s="71" t="s">
        <v>87</v>
      </c>
      <c r="B45" s="101">
        <v>46125</v>
      </c>
      <c r="C45" s="102">
        <v>46126</v>
      </c>
      <c r="D45" s="54">
        <f t="shared" si="1"/>
        <v>2</v>
      </c>
    </row>
    <row r="46" spans="1:4" ht="41.4" x14ac:dyDescent="0.3">
      <c r="A46" s="71" t="s">
        <v>91</v>
      </c>
      <c r="B46" s="101">
        <v>46127</v>
      </c>
      <c r="C46" s="102">
        <v>46131</v>
      </c>
      <c r="D46" s="54">
        <f t="shared" si="1"/>
        <v>5</v>
      </c>
    </row>
    <row r="47" spans="1:4" ht="41.4" x14ac:dyDescent="0.3">
      <c r="A47" s="71" t="s">
        <v>92</v>
      </c>
      <c r="B47" s="101">
        <v>46127</v>
      </c>
      <c r="C47" s="102">
        <v>46128</v>
      </c>
      <c r="D47" s="54">
        <f t="shared" si="1"/>
        <v>2</v>
      </c>
    </row>
    <row r="48" spans="1:4" ht="41.4" x14ac:dyDescent="0.3">
      <c r="A48" s="71" t="s">
        <v>93</v>
      </c>
      <c r="B48" s="101">
        <v>46129</v>
      </c>
      <c r="C48" s="102">
        <v>46130</v>
      </c>
      <c r="D48" s="54">
        <f t="shared" si="1"/>
        <v>2</v>
      </c>
    </row>
    <row r="49" spans="1:4" ht="27.6" x14ac:dyDescent="0.3">
      <c r="A49" s="71" t="s">
        <v>94</v>
      </c>
      <c r="B49" s="101">
        <v>46131</v>
      </c>
      <c r="C49" s="101">
        <v>46131</v>
      </c>
      <c r="D49" s="54">
        <f t="shared" si="1"/>
        <v>1</v>
      </c>
    </row>
    <row r="50" spans="1:4" ht="55.2" x14ac:dyDescent="0.3">
      <c r="A50" s="71" t="s">
        <v>101</v>
      </c>
      <c r="B50" s="101">
        <v>46132</v>
      </c>
      <c r="C50" s="102">
        <v>46136</v>
      </c>
      <c r="D50" s="54">
        <f t="shared" si="1"/>
        <v>5</v>
      </c>
    </row>
    <row r="51" spans="1:4" ht="69" x14ac:dyDescent="0.3">
      <c r="A51" s="71" t="s">
        <v>98</v>
      </c>
      <c r="B51" s="101">
        <v>46132</v>
      </c>
      <c r="C51" s="102">
        <v>46133</v>
      </c>
      <c r="D51" s="54">
        <f t="shared" si="1"/>
        <v>2</v>
      </c>
    </row>
    <row r="52" spans="1:4" ht="27.6" x14ac:dyDescent="0.3">
      <c r="A52" s="71" t="s">
        <v>99</v>
      </c>
      <c r="B52" s="101">
        <v>46134</v>
      </c>
      <c r="C52" s="102">
        <v>46135</v>
      </c>
      <c r="D52" s="93">
        <f t="shared" si="1"/>
        <v>2</v>
      </c>
    </row>
    <row r="53" spans="1:4" ht="41.4" x14ac:dyDescent="0.3">
      <c r="A53" s="71" t="s">
        <v>100</v>
      </c>
      <c r="B53" s="101">
        <v>46136</v>
      </c>
      <c r="C53" s="101">
        <v>46136</v>
      </c>
      <c r="D53" s="54">
        <f t="shared" si="1"/>
        <v>1</v>
      </c>
    </row>
    <row r="54" spans="1:4" ht="60" x14ac:dyDescent="0.3">
      <c r="A54" s="73" t="s">
        <v>105</v>
      </c>
      <c r="B54" s="107">
        <v>46137</v>
      </c>
      <c r="C54" s="108">
        <v>46145</v>
      </c>
      <c r="D54" s="78">
        <f t="shared" si="1"/>
        <v>9</v>
      </c>
    </row>
    <row r="55" spans="1:4" ht="41.4" x14ac:dyDescent="0.3">
      <c r="A55" s="71" t="s">
        <v>112</v>
      </c>
      <c r="B55" s="101">
        <v>46137</v>
      </c>
      <c r="C55" s="102">
        <v>46139</v>
      </c>
      <c r="D55" s="92">
        <f t="shared" si="1"/>
        <v>3</v>
      </c>
    </row>
    <row r="56" spans="1:4" ht="27.6" x14ac:dyDescent="0.3">
      <c r="A56" s="71" t="s">
        <v>106</v>
      </c>
      <c r="B56" s="101">
        <v>46137</v>
      </c>
      <c r="C56" s="101">
        <v>46137</v>
      </c>
      <c r="D56" s="92">
        <f t="shared" si="1"/>
        <v>1</v>
      </c>
    </row>
    <row r="57" spans="1:4" ht="55.2" x14ac:dyDescent="0.3">
      <c r="A57" s="71" t="s">
        <v>107</v>
      </c>
      <c r="B57" s="101">
        <v>46138</v>
      </c>
      <c r="C57" s="101">
        <v>46138</v>
      </c>
      <c r="D57" s="92">
        <f t="shared" si="1"/>
        <v>1</v>
      </c>
    </row>
    <row r="58" spans="1:4" ht="41.4" x14ac:dyDescent="0.3">
      <c r="A58" s="71" t="s">
        <v>108</v>
      </c>
      <c r="B58" s="101">
        <v>46139</v>
      </c>
      <c r="C58" s="101">
        <v>46139</v>
      </c>
      <c r="D58" s="92">
        <f t="shared" si="1"/>
        <v>1</v>
      </c>
    </row>
    <row r="59" spans="1:4" ht="27.6" x14ac:dyDescent="0.3">
      <c r="A59" s="71" t="s">
        <v>119</v>
      </c>
      <c r="B59" s="101">
        <v>46140</v>
      </c>
      <c r="C59" s="102">
        <v>46142</v>
      </c>
      <c r="D59" s="92">
        <f t="shared" si="1"/>
        <v>3</v>
      </c>
    </row>
    <row r="60" spans="1:4" ht="55.2" x14ac:dyDescent="0.3">
      <c r="A60" s="71" t="s">
        <v>113</v>
      </c>
      <c r="B60" s="101">
        <v>46140</v>
      </c>
      <c r="C60" s="101">
        <v>46140</v>
      </c>
      <c r="D60" s="92">
        <f t="shared" si="1"/>
        <v>1</v>
      </c>
    </row>
    <row r="61" spans="1:4" ht="27.6" x14ac:dyDescent="0.3">
      <c r="A61" s="71" t="s">
        <v>114</v>
      </c>
      <c r="B61" s="101">
        <v>46141</v>
      </c>
      <c r="C61" s="101">
        <v>46141</v>
      </c>
      <c r="D61" s="92">
        <f t="shared" si="1"/>
        <v>1</v>
      </c>
    </row>
    <row r="62" spans="1:4" ht="27.6" x14ac:dyDescent="0.3">
      <c r="A62" s="71" t="s">
        <v>115</v>
      </c>
      <c r="B62" s="101">
        <v>46142</v>
      </c>
      <c r="C62" s="101">
        <v>46142</v>
      </c>
      <c r="D62" s="92">
        <f t="shared" si="1"/>
        <v>1</v>
      </c>
    </row>
    <row r="63" spans="1:4" ht="55.2" x14ac:dyDescent="0.3">
      <c r="A63" s="71" t="s">
        <v>140</v>
      </c>
      <c r="B63" s="101">
        <v>46143</v>
      </c>
      <c r="C63" s="102">
        <v>46145</v>
      </c>
      <c r="D63" s="92">
        <f t="shared" si="1"/>
        <v>3</v>
      </c>
    </row>
    <row r="64" spans="1:4" ht="41.4" x14ac:dyDescent="0.3">
      <c r="A64" s="71" t="s">
        <v>144</v>
      </c>
      <c r="B64" s="101">
        <v>46143</v>
      </c>
      <c r="C64" s="101">
        <v>46143</v>
      </c>
      <c r="D64" s="92">
        <f t="shared" si="1"/>
        <v>1</v>
      </c>
    </row>
    <row r="65" spans="1:4" ht="41.4" x14ac:dyDescent="0.3">
      <c r="A65" s="71" t="s">
        <v>120</v>
      </c>
      <c r="B65" s="101">
        <v>46144</v>
      </c>
      <c r="C65" s="101">
        <v>46144</v>
      </c>
      <c r="D65" s="92">
        <f t="shared" si="1"/>
        <v>1</v>
      </c>
    </row>
    <row r="66" spans="1:4" ht="41.4" x14ac:dyDescent="0.3">
      <c r="A66" s="71" t="s">
        <v>121</v>
      </c>
      <c r="B66" s="101">
        <v>46145</v>
      </c>
      <c r="C66" s="101">
        <v>46145</v>
      </c>
      <c r="D66" s="92">
        <f t="shared" ref="D66:D77" si="2">IF(B66=0,0,C66-B66)+1</f>
        <v>1</v>
      </c>
    </row>
    <row r="67" spans="1:4" ht="45" x14ac:dyDescent="0.3">
      <c r="A67" s="80" t="s">
        <v>125</v>
      </c>
      <c r="B67" s="109">
        <v>46146</v>
      </c>
      <c r="C67" s="110">
        <v>46150</v>
      </c>
      <c r="D67" s="85">
        <f t="shared" si="2"/>
        <v>5</v>
      </c>
    </row>
    <row r="68" spans="1:4" ht="69" x14ac:dyDescent="0.3">
      <c r="A68" s="71" t="s">
        <v>141</v>
      </c>
      <c r="B68" s="101">
        <v>46146</v>
      </c>
      <c r="C68" s="102">
        <v>46147</v>
      </c>
      <c r="D68" s="72">
        <f t="shared" si="2"/>
        <v>2</v>
      </c>
    </row>
    <row r="69" spans="1:4" ht="41.4" x14ac:dyDescent="0.3">
      <c r="A69" s="71" t="s">
        <v>126</v>
      </c>
      <c r="B69" s="101">
        <v>46146</v>
      </c>
      <c r="C69" s="101">
        <v>46146</v>
      </c>
      <c r="D69" s="72">
        <f t="shared" si="2"/>
        <v>1</v>
      </c>
    </row>
    <row r="70" spans="1:4" ht="27.6" x14ac:dyDescent="0.3">
      <c r="A70" s="71" t="s">
        <v>127</v>
      </c>
      <c r="B70" s="101">
        <v>46147</v>
      </c>
      <c r="C70" s="101">
        <v>46147</v>
      </c>
      <c r="D70" s="72">
        <f t="shared" si="2"/>
        <v>1</v>
      </c>
    </row>
    <row r="71" spans="1:4" ht="41.4" x14ac:dyDescent="0.3">
      <c r="A71" s="71" t="s">
        <v>142</v>
      </c>
      <c r="B71" s="101">
        <v>46148</v>
      </c>
      <c r="C71" s="102">
        <v>46149</v>
      </c>
      <c r="D71" s="72">
        <f t="shared" si="2"/>
        <v>2</v>
      </c>
    </row>
    <row r="72" spans="1:4" ht="41.4" x14ac:dyDescent="0.3">
      <c r="A72" s="71" t="s">
        <v>128</v>
      </c>
      <c r="B72" s="101">
        <v>46148</v>
      </c>
      <c r="C72" s="101">
        <v>46148</v>
      </c>
      <c r="D72" s="72">
        <f t="shared" si="2"/>
        <v>1</v>
      </c>
    </row>
    <row r="73" spans="1:4" ht="27.6" x14ac:dyDescent="0.3">
      <c r="A73" s="71" t="s">
        <v>129</v>
      </c>
      <c r="B73" s="102">
        <v>46149</v>
      </c>
      <c r="C73" s="102">
        <v>46149</v>
      </c>
      <c r="D73" s="72">
        <f t="shared" si="2"/>
        <v>1</v>
      </c>
    </row>
    <row r="74" spans="1:4" ht="27.6" x14ac:dyDescent="0.3">
      <c r="A74" s="71" t="s">
        <v>130</v>
      </c>
      <c r="B74" s="102">
        <v>46149</v>
      </c>
      <c r="C74" s="102">
        <v>46149</v>
      </c>
      <c r="D74" s="72">
        <f t="shared" si="2"/>
        <v>1</v>
      </c>
    </row>
    <row r="75" spans="1:4" ht="41.4" x14ac:dyDescent="0.3">
      <c r="A75" s="71" t="s">
        <v>143</v>
      </c>
      <c r="B75" s="101">
        <v>46150</v>
      </c>
      <c r="C75" s="101">
        <v>46150</v>
      </c>
      <c r="D75" s="72">
        <f t="shared" si="2"/>
        <v>1</v>
      </c>
    </row>
    <row r="76" spans="1:4" ht="27.6" x14ac:dyDescent="0.3">
      <c r="A76" s="71" t="s">
        <v>131</v>
      </c>
      <c r="B76" s="101">
        <v>46150</v>
      </c>
      <c r="C76" s="101">
        <v>46150</v>
      </c>
      <c r="D76" s="72">
        <f t="shared" si="2"/>
        <v>1</v>
      </c>
    </row>
    <row r="77" spans="1:4" ht="27.6" x14ac:dyDescent="0.3">
      <c r="A77" s="71" t="s">
        <v>132</v>
      </c>
      <c r="B77" s="101">
        <v>46150</v>
      </c>
      <c r="C77" s="101">
        <v>46150</v>
      </c>
      <c r="D77" s="72">
        <f t="shared" si="2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Example - Project Plan Template</vt:lpstr>
      <vt:lpstr>Hoja1</vt:lpstr>
      <vt:lpstr>'Example - Project Plan Template'!Área_de_impresión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NICOLAS FELIPE  NUMPAQUE TORRES</cp:lastModifiedBy>
  <dcterms:created xsi:type="dcterms:W3CDTF">2015-02-24T20:54:23Z</dcterms:created>
  <dcterms:modified xsi:type="dcterms:W3CDTF">2026-04-25T21:28:52Z</dcterms:modified>
</cp:coreProperties>
</file>